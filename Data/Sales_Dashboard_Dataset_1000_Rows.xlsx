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306BEA58-5EAA-4A39-93DE-DD9C40999CFF}" xr6:coauthVersionLast="47" xr6:coauthVersionMax="47" xr10:uidLastSave="{00000000-0000-0000-0000-000000000000}"/>
  <bookViews>
    <workbookView xWindow="-108" yWindow="-108" windowWidth="23256" windowHeight="12576" firstSheet="2" activeTab="5" xr2:uid="{00000000-000D-0000-FFFF-FFFF00000000}"/>
  </bookViews>
  <sheets>
    <sheet name="Total Sales by Region" sheetId="4" r:id="rId1"/>
    <sheet name="Profit by region" sheetId="6" r:id="rId2"/>
    <sheet name="Sales by category" sheetId="7" r:id="rId3"/>
    <sheet name="Monthly sales trend" sheetId="8" r:id="rId4"/>
    <sheet name="Salesperson performance" sheetId="9" r:id="rId5"/>
    <sheet name="Dashboard" sheetId="11" r:id="rId6"/>
    <sheet name="Total sales by Products" sheetId="12" r:id="rId7"/>
    <sheet name="Sales_Data" sheetId="1" r:id="rId8"/>
    <sheet name="Calculations" sheetId="2" r:id="rId9"/>
  </sheets>
  <externalReferences>
    <externalReference r:id="rId10"/>
  </externalReferences>
  <definedNames>
    <definedName name="Slicer_Category">#N/A</definedName>
    <definedName name="Slicer_Month">#N/A</definedName>
    <definedName name="Slicer_Region">#N/A</definedName>
    <definedName name="Slicer_Salespers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B7" i="2"/>
  <c r="B6" i="2"/>
  <c r="B5" i="2"/>
  <c r="B4" i="2"/>
  <c r="B3" i="2"/>
  <c r="J1001" i="1"/>
  <c r="J1000" i="1"/>
  <c r="J999" i="1"/>
  <c r="J998" i="1"/>
  <c r="J997" i="1"/>
  <c r="J996" i="1"/>
  <c r="K996" i="1" s="1"/>
  <c r="L996" i="1" s="1"/>
  <c r="L995" i="1"/>
  <c r="J995" i="1"/>
  <c r="K995" i="1" s="1"/>
  <c r="J994" i="1"/>
  <c r="J993" i="1"/>
  <c r="J992" i="1"/>
  <c r="K991" i="1"/>
  <c r="J991" i="1"/>
  <c r="K990" i="1"/>
  <c r="L990" i="1" s="1"/>
  <c r="J990" i="1"/>
  <c r="K989" i="1"/>
  <c r="L989" i="1" s="1"/>
  <c r="J989" i="1"/>
  <c r="J988" i="1"/>
  <c r="K988" i="1" s="1"/>
  <c r="L988" i="1" s="1"/>
  <c r="J987" i="1"/>
  <c r="K987" i="1" s="1"/>
  <c r="L987" i="1" s="1"/>
  <c r="J986" i="1"/>
  <c r="J985" i="1"/>
  <c r="J984" i="1"/>
  <c r="K983" i="1"/>
  <c r="J983" i="1"/>
  <c r="L983" i="1" s="1"/>
  <c r="K982" i="1"/>
  <c r="L982" i="1" s="1"/>
  <c r="J982" i="1"/>
  <c r="K981" i="1"/>
  <c r="L981" i="1" s="1"/>
  <c r="J981" i="1"/>
  <c r="L980" i="1"/>
  <c r="J980" i="1"/>
  <c r="K980" i="1" s="1"/>
  <c r="J979" i="1"/>
  <c r="K979" i="1" s="1"/>
  <c r="L979" i="1" s="1"/>
  <c r="J978" i="1"/>
  <c r="J977" i="1"/>
  <c r="J976" i="1"/>
  <c r="K975" i="1"/>
  <c r="J975" i="1"/>
  <c r="K974" i="1"/>
  <c r="L974" i="1" s="1"/>
  <c r="J974" i="1"/>
  <c r="K973" i="1"/>
  <c r="L973" i="1" s="1"/>
  <c r="J973" i="1"/>
  <c r="J972" i="1"/>
  <c r="K972" i="1" s="1"/>
  <c r="L972" i="1" s="1"/>
  <c r="J971" i="1"/>
  <c r="K971" i="1" s="1"/>
  <c r="L971" i="1" s="1"/>
  <c r="J970" i="1"/>
  <c r="J969" i="1"/>
  <c r="J968" i="1"/>
  <c r="K967" i="1"/>
  <c r="J967" i="1"/>
  <c r="K966" i="1"/>
  <c r="L966" i="1" s="1"/>
  <c r="J966" i="1"/>
  <c r="K965" i="1"/>
  <c r="L965" i="1" s="1"/>
  <c r="J965" i="1"/>
  <c r="J964" i="1"/>
  <c r="K964" i="1" s="1"/>
  <c r="L964" i="1" s="1"/>
  <c r="L963" i="1"/>
  <c r="J963" i="1"/>
  <c r="K963" i="1" s="1"/>
  <c r="J962" i="1"/>
  <c r="J961" i="1"/>
  <c r="J960" i="1"/>
  <c r="K959" i="1"/>
  <c r="J959" i="1"/>
  <c r="K958" i="1"/>
  <c r="L958" i="1" s="1"/>
  <c r="J958" i="1"/>
  <c r="K957" i="1"/>
  <c r="L957" i="1" s="1"/>
  <c r="J957" i="1"/>
  <c r="L956" i="1"/>
  <c r="J956" i="1"/>
  <c r="K956" i="1" s="1"/>
  <c r="L955" i="1"/>
  <c r="J955" i="1"/>
  <c r="K955" i="1" s="1"/>
  <c r="J954" i="1"/>
  <c r="J953" i="1"/>
  <c r="J952" i="1"/>
  <c r="K951" i="1"/>
  <c r="J951" i="1"/>
  <c r="L951" i="1" s="1"/>
  <c r="K950" i="1"/>
  <c r="L950" i="1" s="1"/>
  <c r="J950" i="1"/>
  <c r="K949" i="1"/>
  <c r="J949" i="1"/>
  <c r="L949" i="1" s="1"/>
  <c r="L948" i="1"/>
  <c r="J948" i="1"/>
  <c r="K948" i="1" s="1"/>
  <c r="J947" i="1"/>
  <c r="K947" i="1" s="1"/>
  <c r="L947" i="1" s="1"/>
  <c r="J946" i="1"/>
  <c r="J945" i="1"/>
  <c r="J944" i="1"/>
  <c r="K943" i="1"/>
  <c r="J943" i="1"/>
  <c r="L943" i="1" s="1"/>
  <c r="K942" i="1"/>
  <c r="L942" i="1" s="1"/>
  <c r="J942" i="1"/>
  <c r="K941" i="1"/>
  <c r="J941" i="1"/>
  <c r="L941" i="1" s="1"/>
  <c r="L940" i="1"/>
  <c r="J940" i="1"/>
  <c r="K940" i="1" s="1"/>
  <c r="J939" i="1"/>
  <c r="K939" i="1" s="1"/>
  <c r="L939" i="1" s="1"/>
  <c r="J938" i="1"/>
  <c r="J937" i="1"/>
  <c r="J936" i="1"/>
  <c r="K935" i="1"/>
  <c r="J935" i="1"/>
  <c r="K934" i="1"/>
  <c r="L934" i="1" s="1"/>
  <c r="J934" i="1"/>
  <c r="K933" i="1"/>
  <c r="J933" i="1"/>
  <c r="L933" i="1" s="1"/>
  <c r="J932" i="1"/>
  <c r="K932" i="1" s="1"/>
  <c r="L932" i="1" s="1"/>
  <c r="L931" i="1"/>
  <c r="J931" i="1"/>
  <c r="K931" i="1" s="1"/>
  <c r="J930" i="1"/>
  <c r="J929" i="1"/>
  <c r="J928" i="1"/>
  <c r="K927" i="1"/>
  <c r="J927" i="1"/>
  <c r="L927" i="1" s="1"/>
  <c r="K926" i="1"/>
  <c r="L926" i="1" s="1"/>
  <c r="J926" i="1"/>
  <c r="K925" i="1"/>
  <c r="J925" i="1"/>
  <c r="L925" i="1" s="1"/>
  <c r="J924" i="1"/>
  <c r="K924" i="1" s="1"/>
  <c r="L924" i="1" s="1"/>
  <c r="J923" i="1"/>
  <c r="K923" i="1" s="1"/>
  <c r="L923" i="1" s="1"/>
  <c r="J922" i="1"/>
  <c r="J921" i="1"/>
  <c r="J920" i="1"/>
  <c r="K919" i="1"/>
  <c r="J919" i="1"/>
  <c r="L919" i="1" s="1"/>
  <c r="K918" i="1"/>
  <c r="L918" i="1" s="1"/>
  <c r="J918" i="1"/>
  <c r="K917" i="1"/>
  <c r="J917" i="1"/>
  <c r="L917" i="1" s="1"/>
  <c r="L916" i="1"/>
  <c r="J916" i="1"/>
  <c r="K916" i="1" s="1"/>
  <c r="J915" i="1"/>
  <c r="K915" i="1" s="1"/>
  <c r="L915" i="1" s="1"/>
  <c r="J914" i="1"/>
  <c r="J913" i="1"/>
  <c r="J912" i="1"/>
  <c r="K911" i="1"/>
  <c r="J911" i="1"/>
  <c r="K910" i="1"/>
  <c r="L910" i="1" s="1"/>
  <c r="J910" i="1"/>
  <c r="K909" i="1"/>
  <c r="J909" i="1"/>
  <c r="L909" i="1" s="1"/>
  <c r="J908" i="1"/>
  <c r="K908" i="1" s="1"/>
  <c r="L908" i="1" s="1"/>
  <c r="L907" i="1"/>
  <c r="K907" i="1"/>
  <c r="J907" i="1"/>
  <c r="J906" i="1"/>
  <c r="J905" i="1"/>
  <c r="J904" i="1"/>
  <c r="K903" i="1"/>
  <c r="J903" i="1"/>
  <c r="L903" i="1" s="1"/>
  <c r="K902" i="1"/>
  <c r="L902" i="1" s="1"/>
  <c r="J902" i="1"/>
  <c r="K901" i="1"/>
  <c r="J901" i="1"/>
  <c r="L901" i="1" s="1"/>
  <c r="J900" i="1"/>
  <c r="K900" i="1" s="1"/>
  <c r="L900" i="1" s="1"/>
  <c r="L899" i="1"/>
  <c r="K899" i="1"/>
  <c r="J899" i="1"/>
  <c r="J898" i="1"/>
  <c r="J897" i="1"/>
  <c r="J896" i="1"/>
  <c r="K895" i="1"/>
  <c r="J895" i="1"/>
  <c r="L895" i="1" s="1"/>
  <c r="K894" i="1"/>
  <c r="L894" i="1" s="1"/>
  <c r="J894" i="1"/>
  <c r="K893" i="1"/>
  <c r="J893" i="1"/>
  <c r="L893" i="1" s="1"/>
  <c r="L892" i="1"/>
  <c r="J892" i="1"/>
  <c r="K892" i="1" s="1"/>
  <c r="L891" i="1"/>
  <c r="K891" i="1"/>
  <c r="J891" i="1"/>
  <c r="J890" i="1"/>
  <c r="J889" i="1"/>
  <c r="J888" i="1"/>
  <c r="K887" i="1"/>
  <c r="J887" i="1"/>
  <c r="K886" i="1"/>
  <c r="L886" i="1" s="1"/>
  <c r="J886" i="1"/>
  <c r="K885" i="1"/>
  <c r="J885" i="1"/>
  <c r="L885" i="1" s="1"/>
  <c r="L884" i="1"/>
  <c r="J884" i="1"/>
  <c r="K884" i="1" s="1"/>
  <c r="L883" i="1"/>
  <c r="K883" i="1"/>
  <c r="J883" i="1"/>
  <c r="J882" i="1"/>
  <c r="J881" i="1"/>
  <c r="J880" i="1"/>
  <c r="K879" i="1"/>
  <c r="J879" i="1"/>
  <c r="K878" i="1"/>
  <c r="L878" i="1" s="1"/>
  <c r="J878" i="1"/>
  <c r="K877" i="1"/>
  <c r="J877" i="1"/>
  <c r="L877" i="1" s="1"/>
  <c r="J876" i="1"/>
  <c r="K876" i="1" s="1"/>
  <c r="L876" i="1" s="1"/>
  <c r="L875" i="1"/>
  <c r="K875" i="1"/>
  <c r="J875" i="1"/>
  <c r="J874" i="1"/>
  <c r="J873" i="1"/>
  <c r="J872" i="1"/>
  <c r="K871" i="1"/>
  <c r="J871" i="1"/>
  <c r="L871" i="1" s="1"/>
  <c r="K870" i="1"/>
  <c r="L870" i="1" s="1"/>
  <c r="J870" i="1"/>
  <c r="K869" i="1"/>
  <c r="J869" i="1"/>
  <c r="L869" i="1" s="1"/>
  <c r="J868" i="1"/>
  <c r="K868" i="1" s="1"/>
  <c r="L868" i="1" s="1"/>
  <c r="L867" i="1"/>
  <c r="K867" i="1"/>
  <c r="J867" i="1"/>
  <c r="J866" i="1"/>
  <c r="J865" i="1"/>
  <c r="J864" i="1"/>
  <c r="K863" i="1"/>
  <c r="J863" i="1"/>
  <c r="K862" i="1"/>
  <c r="L862" i="1" s="1"/>
  <c r="J862" i="1"/>
  <c r="K861" i="1"/>
  <c r="J861" i="1"/>
  <c r="L861" i="1" s="1"/>
  <c r="L860" i="1"/>
  <c r="J860" i="1"/>
  <c r="K860" i="1" s="1"/>
  <c r="L859" i="1"/>
  <c r="K859" i="1"/>
  <c r="J859" i="1"/>
  <c r="J858" i="1"/>
  <c r="J857" i="1"/>
  <c r="J856" i="1"/>
  <c r="K855" i="1"/>
  <c r="J855" i="1"/>
  <c r="K854" i="1"/>
  <c r="L854" i="1" s="1"/>
  <c r="J854" i="1"/>
  <c r="K853" i="1"/>
  <c r="J853" i="1"/>
  <c r="L853" i="1" s="1"/>
  <c r="J852" i="1"/>
  <c r="K852" i="1" s="1"/>
  <c r="L852" i="1" s="1"/>
  <c r="L851" i="1"/>
  <c r="K851" i="1"/>
  <c r="J851" i="1"/>
  <c r="J850" i="1"/>
  <c r="J849" i="1"/>
  <c r="J848" i="1"/>
  <c r="K847" i="1"/>
  <c r="J847" i="1"/>
  <c r="L847" i="1" s="1"/>
  <c r="K846" i="1"/>
  <c r="L846" i="1" s="1"/>
  <c r="J846" i="1"/>
  <c r="K845" i="1"/>
  <c r="J845" i="1"/>
  <c r="L845" i="1" s="1"/>
  <c r="J844" i="1"/>
  <c r="K844" i="1" s="1"/>
  <c r="L844" i="1" s="1"/>
  <c r="L843" i="1"/>
  <c r="K843" i="1"/>
  <c r="J843" i="1"/>
  <c r="J842" i="1"/>
  <c r="J841" i="1"/>
  <c r="J840" i="1"/>
  <c r="K839" i="1"/>
  <c r="J839" i="1"/>
  <c r="L839" i="1" s="1"/>
  <c r="K838" i="1"/>
  <c r="L838" i="1" s="1"/>
  <c r="J838" i="1"/>
  <c r="K837" i="1"/>
  <c r="J837" i="1"/>
  <c r="L837" i="1" s="1"/>
  <c r="L836" i="1"/>
  <c r="J836" i="1"/>
  <c r="K836" i="1" s="1"/>
  <c r="L835" i="1"/>
  <c r="K835" i="1"/>
  <c r="J835" i="1"/>
  <c r="J834" i="1"/>
  <c r="J833" i="1"/>
  <c r="J832" i="1"/>
  <c r="K831" i="1"/>
  <c r="L831" i="1" s="1"/>
  <c r="J831" i="1"/>
  <c r="K830" i="1"/>
  <c r="L830" i="1" s="1"/>
  <c r="J830" i="1"/>
  <c r="K829" i="1"/>
  <c r="J829" i="1"/>
  <c r="L829" i="1" s="1"/>
  <c r="L828" i="1"/>
  <c r="J828" i="1"/>
  <c r="K828" i="1" s="1"/>
  <c r="L827" i="1"/>
  <c r="K827" i="1"/>
  <c r="J827" i="1"/>
  <c r="J826" i="1"/>
  <c r="J825" i="1"/>
  <c r="J824" i="1"/>
  <c r="K823" i="1"/>
  <c r="L823" i="1" s="1"/>
  <c r="J823" i="1"/>
  <c r="K822" i="1"/>
  <c r="L822" i="1" s="1"/>
  <c r="J822" i="1"/>
  <c r="K821" i="1"/>
  <c r="J821" i="1"/>
  <c r="L821" i="1" s="1"/>
  <c r="J820" i="1"/>
  <c r="K820" i="1" s="1"/>
  <c r="L820" i="1" s="1"/>
  <c r="L819" i="1"/>
  <c r="K819" i="1"/>
  <c r="J819" i="1"/>
  <c r="J818" i="1"/>
  <c r="J817" i="1"/>
  <c r="J816" i="1"/>
  <c r="K815" i="1"/>
  <c r="L815" i="1" s="1"/>
  <c r="J815" i="1"/>
  <c r="K814" i="1"/>
  <c r="L814" i="1" s="1"/>
  <c r="J814" i="1"/>
  <c r="K813" i="1"/>
  <c r="J813" i="1"/>
  <c r="L813" i="1" s="1"/>
  <c r="J812" i="1"/>
  <c r="K812" i="1" s="1"/>
  <c r="L812" i="1" s="1"/>
  <c r="L811" i="1"/>
  <c r="K811" i="1"/>
  <c r="J811" i="1"/>
  <c r="J810" i="1"/>
  <c r="J809" i="1"/>
  <c r="J808" i="1"/>
  <c r="K807" i="1"/>
  <c r="L807" i="1" s="1"/>
  <c r="J807" i="1"/>
  <c r="K806" i="1"/>
  <c r="L806" i="1" s="1"/>
  <c r="J806" i="1"/>
  <c r="K805" i="1"/>
  <c r="J805" i="1"/>
  <c r="L805" i="1" s="1"/>
  <c r="L804" i="1"/>
  <c r="J804" i="1"/>
  <c r="K804" i="1" s="1"/>
  <c r="L803" i="1"/>
  <c r="K803" i="1"/>
  <c r="J803" i="1"/>
  <c r="J802" i="1"/>
  <c r="J801" i="1"/>
  <c r="J800" i="1"/>
  <c r="K799" i="1"/>
  <c r="L799" i="1" s="1"/>
  <c r="J799" i="1"/>
  <c r="K798" i="1"/>
  <c r="L798" i="1" s="1"/>
  <c r="J798" i="1"/>
  <c r="K797" i="1"/>
  <c r="J797" i="1"/>
  <c r="L797" i="1" s="1"/>
  <c r="L796" i="1"/>
  <c r="J796" i="1"/>
  <c r="K796" i="1" s="1"/>
  <c r="L795" i="1"/>
  <c r="K795" i="1"/>
  <c r="J795" i="1"/>
  <c r="J794" i="1"/>
  <c r="J793" i="1"/>
  <c r="J792" i="1"/>
  <c r="K791" i="1"/>
  <c r="L791" i="1" s="1"/>
  <c r="J791" i="1"/>
  <c r="K790" i="1"/>
  <c r="L790" i="1" s="1"/>
  <c r="J790" i="1"/>
  <c r="K789" i="1"/>
  <c r="J789" i="1"/>
  <c r="L789" i="1" s="1"/>
  <c r="J788" i="1"/>
  <c r="K788" i="1" s="1"/>
  <c r="L788" i="1" s="1"/>
  <c r="L787" i="1"/>
  <c r="K787" i="1"/>
  <c r="J787" i="1"/>
  <c r="J786" i="1"/>
  <c r="J785" i="1"/>
  <c r="J784" i="1"/>
  <c r="K783" i="1"/>
  <c r="L783" i="1" s="1"/>
  <c r="J783" i="1"/>
  <c r="K782" i="1"/>
  <c r="L782" i="1" s="1"/>
  <c r="J782" i="1"/>
  <c r="K781" i="1"/>
  <c r="J781" i="1"/>
  <c r="L781" i="1" s="1"/>
  <c r="J780" i="1"/>
  <c r="K780" i="1" s="1"/>
  <c r="L780" i="1" s="1"/>
  <c r="L779" i="1"/>
  <c r="K779" i="1"/>
  <c r="J779" i="1"/>
  <c r="J778" i="1"/>
  <c r="J777" i="1"/>
  <c r="J776" i="1"/>
  <c r="K775" i="1"/>
  <c r="L775" i="1" s="1"/>
  <c r="J775" i="1"/>
  <c r="K774" i="1"/>
  <c r="L774" i="1" s="1"/>
  <c r="J774" i="1"/>
  <c r="K773" i="1"/>
  <c r="J773" i="1"/>
  <c r="L773" i="1" s="1"/>
  <c r="L772" i="1"/>
  <c r="J772" i="1"/>
  <c r="K772" i="1" s="1"/>
  <c r="L771" i="1"/>
  <c r="K771" i="1"/>
  <c r="J771" i="1"/>
  <c r="J770" i="1"/>
  <c r="J769" i="1"/>
  <c r="J768" i="1"/>
  <c r="K767" i="1"/>
  <c r="L767" i="1" s="1"/>
  <c r="J767" i="1"/>
  <c r="K766" i="1"/>
  <c r="L766" i="1" s="1"/>
  <c r="J766" i="1"/>
  <c r="K765" i="1"/>
  <c r="J765" i="1"/>
  <c r="L765" i="1" s="1"/>
  <c r="L764" i="1"/>
  <c r="J764" i="1"/>
  <c r="K764" i="1" s="1"/>
  <c r="L763" i="1"/>
  <c r="K763" i="1"/>
  <c r="J763" i="1"/>
  <c r="J762" i="1"/>
  <c r="J761" i="1"/>
  <c r="J760" i="1"/>
  <c r="K759" i="1"/>
  <c r="L759" i="1" s="1"/>
  <c r="J759" i="1"/>
  <c r="K758" i="1"/>
  <c r="L758" i="1" s="1"/>
  <c r="J758" i="1"/>
  <c r="K757" i="1"/>
  <c r="J757" i="1"/>
  <c r="L757" i="1" s="1"/>
  <c r="L756" i="1"/>
  <c r="J756" i="1"/>
  <c r="K756" i="1" s="1"/>
  <c r="L755" i="1"/>
  <c r="K755" i="1"/>
  <c r="J755" i="1"/>
  <c r="J754" i="1"/>
  <c r="K754" i="1" s="1"/>
  <c r="J753" i="1"/>
  <c r="J752" i="1"/>
  <c r="K751" i="1"/>
  <c r="L751" i="1" s="1"/>
  <c r="J751" i="1"/>
  <c r="K750" i="1"/>
  <c r="L750" i="1" s="1"/>
  <c r="J750" i="1"/>
  <c r="K749" i="1"/>
  <c r="J749" i="1"/>
  <c r="L749" i="1" s="1"/>
  <c r="J748" i="1"/>
  <c r="K748" i="1" s="1"/>
  <c r="L748" i="1" s="1"/>
  <c r="L747" i="1"/>
  <c r="K747" i="1"/>
  <c r="J747" i="1"/>
  <c r="J746" i="1"/>
  <c r="K746" i="1" s="1"/>
  <c r="J745" i="1"/>
  <c r="J744" i="1"/>
  <c r="K743" i="1"/>
  <c r="L743" i="1" s="1"/>
  <c r="J743" i="1"/>
  <c r="K742" i="1"/>
  <c r="L742" i="1" s="1"/>
  <c r="J742" i="1"/>
  <c r="K741" i="1"/>
  <c r="J741" i="1"/>
  <c r="L741" i="1" s="1"/>
  <c r="J740" i="1"/>
  <c r="K740" i="1" s="1"/>
  <c r="L740" i="1" s="1"/>
  <c r="L739" i="1"/>
  <c r="K739" i="1"/>
  <c r="J739" i="1"/>
  <c r="L738" i="1"/>
  <c r="J738" i="1"/>
  <c r="K738" i="1" s="1"/>
  <c r="J737" i="1"/>
  <c r="J736" i="1"/>
  <c r="K735" i="1"/>
  <c r="L735" i="1" s="1"/>
  <c r="J735" i="1"/>
  <c r="K734" i="1"/>
  <c r="L734" i="1" s="1"/>
  <c r="J734" i="1"/>
  <c r="K733" i="1"/>
  <c r="J733" i="1"/>
  <c r="J732" i="1"/>
  <c r="K732" i="1" s="1"/>
  <c r="L732" i="1" s="1"/>
  <c r="L731" i="1"/>
  <c r="K731" i="1"/>
  <c r="J731" i="1"/>
  <c r="J730" i="1"/>
  <c r="K730" i="1" s="1"/>
  <c r="J729" i="1"/>
  <c r="J728" i="1"/>
  <c r="K727" i="1"/>
  <c r="L727" i="1" s="1"/>
  <c r="J727" i="1"/>
  <c r="K726" i="1"/>
  <c r="L726" i="1" s="1"/>
  <c r="J726" i="1"/>
  <c r="K725" i="1"/>
  <c r="J725" i="1"/>
  <c r="L725" i="1" s="1"/>
  <c r="J724" i="1"/>
  <c r="K724" i="1" s="1"/>
  <c r="L724" i="1" s="1"/>
  <c r="L723" i="1"/>
  <c r="K723" i="1"/>
  <c r="J723" i="1"/>
  <c r="L722" i="1"/>
  <c r="J722" i="1"/>
  <c r="K722" i="1" s="1"/>
  <c r="J721" i="1"/>
  <c r="J720" i="1"/>
  <c r="K719" i="1"/>
  <c r="L719" i="1" s="1"/>
  <c r="J719" i="1"/>
  <c r="K718" i="1"/>
  <c r="L718" i="1" s="1"/>
  <c r="J718" i="1"/>
  <c r="K717" i="1"/>
  <c r="J717" i="1"/>
  <c r="L716" i="1"/>
  <c r="J716" i="1"/>
  <c r="K716" i="1" s="1"/>
  <c r="L715" i="1"/>
  <c r="K715" i="1"/>
  <c r="J715" i="1"/>
  <c r="L714" i="1"/>
  <c r="J714" i="1"/>
  <c r="K714" i="1" s="1"/>
  <c r="J713" i="1"/>
  <c r="J712" i="1"/>
  <c r="K711" i="1"/>
  <c r="L711" i="1" s="1"/>
  <c r="J711" i="1"/>
  <c r="K710" i="1"/>
  <c r="L710" i="1" s="1"/>
  <c r="J710" i="1"/>
  <c r="K709" i="1"/>
  <c r="J709" i="1"/>
  <c r="J708" i="1"/>
  <c r="K708" i="1" s="1"/>
  <c r="L708" i="1" s="1"/>
  <c r="L707" i="1"/>
  <c r="K707" i="1"/>
  <c r="J707" i="1"/>
  <c r="L706" i="1"/>
  <c r="J706" i="1"/>
  <c r="K706" i="1" s="1"/>
  <c r="J705" i="1"/>
  <c r="J704" i="1"/>
  <c r="K703" i="1"/>
  <c r="L703" i="1" s="1"/>
  <c r="J703" i="1"/>
  <c r="K702" i="1"/>
  <c r="L702" i="1" s="1"/>
  <c r="J702" i="1"/>
  <c r="K701" i="1"/>
  <c r="J701" i="1"/>
  <c r="L700" i="1"/>
  <c r="J700" i="1"/>
  <c r="K700" i="1" s="1"/>
  <c r="L699" i="1"/>
  <c r="K699" i="1"/>
  <c r="J699" i="1"/>
  <c r="J698" i="1"/>
  <c r="K697" i="1"/>
  <c r="J697" i="1"/>
  <c r="J696" i="1"/>
  <c r="K695" i="1"/>
  <c r="L695" i="1" s="1"/>
  <c r="J695" i="1"/>
  <c r="K694" i="1"/>
  <c r="L694" i="1" s="1"/>
  <c r="J694" i="1"/>
  <c r="K693" i="1"/>
  <c r="J693" i="1"/>
  <c r="J692" i="1"/>
  <c r="K692" i="1" s="1"/>
  <c r="L691" i="1"/>
  <c r="K691" i="1"/>
  <c r="J691" i="1"/>
  <c r="L690" i="1"/>
  <c r="J690" i="1"/>
  <c r="K690" i="1" s="1"/>
  <c r="K689" i="1"/>
  <c r="J689" i="1"/>
  <c r="J688" i="1"/>
  <c r="K687" i="1"/>
  <c r="L687" i="1" s="1"/>
  <c r="J687" i="1"/>
  <c r="K686" i="1"/>
  <c r="L686" i="1" s="1"/>
  <c r="J686" i="1"/>
  <c r="K685" i="1"/>
  <c r="J685" i="1"/>
  <c r="L684" i="1"/>
  <c r="J684" i="1"/>
  <c r="K684" i="1" s="1"/>
  <c r="L683" i="1"/>
  <c r="K683" i="1"/>
  <c r="J683" i="1"/>
  <c r="L682" i="1"/>
  <c r="J682" i="1"/>
  <c r="K682" i="1" s="1"/>
  <c r="J681" i="1"/>
  <c r="J680" i="1"/>
  <c r="K679" i="1"/>
  <c r="L679" i="1" s="1"/>
  <c r="J679" i="1"/>
  <c r="L678" i="1"/>
  <c r="K678" i="1"/>
  <c r="J678" i="1"/>
  <c r="K677" i="1"/>
  <c r="J677" i="1"/>
  <c r="L677" i="1" s="1"/>
  <c r="J676" i="1"/>
  <c r="K676" i="1" s="1"/>
  <c r="K675" i="1"/>
  <c r="L675" i="1" s="1"/>
  <c r="J675" i="1"/>
  <c r="L674" i="1"/>
  <c r="J674" i="1"/>
  <c r="K674" i="1" s="1"/>
  <c r="K673" i="1"/>
  <c r="J673" i="1"/>
  <c r="J672" i="1"/>
  <c r="K672" i="1" s="1"/>
  <c r="K671" i="1"/>
  <c r="L671" i="1" s="1"/>
  <c r="J671" i="1"/>
  <c r="J670" i="1"/>
  <c r="J669" i="1"/>
  <c r="J668" i="1"/>
  <c r="L667" i="1"/>
  <c r="K667" i="1"/>
  <c r="J667" i="1"/>
  <c r="J666" i="1"/>
  <c r="K666" i="1" s="1"/>
  <c r="L666" i="1" s="1"/>
  <c r="J665" i="1"/>
  <c r="L664" i="1"/>
  <c r="J664" i="1"/>
  <c r="K664" i="1" s="1"/>
  <c r="K663" i="1"/>
  <c r="J663" i="1"/>
  <c r="L663" i="1" s="1"/>
  <c r="J662" i="1"/>
  <c r="L661" i="1"/>
  <c r="K661" i="1"/>
  <c r="J661" i="1"/>
  <c r="J660" i="1"/>
  <c r="K660" i="1" s="1"/>
  <c r="L660" i="1" s="1"/>
  <c r="K659" i="1"/>
  <c r="J659" i="1"/>
  <c r="J658" i="1"/>
  <c r="J657" i="1"/>
  <c r="L656" i="1"/>
  <c r="K656" i="1"/>
  <c r="J656" i="1"/>
  <c r="K655" i="1"/>
  <c r="J655" i="1"/>
  <c r="L655" i="1" s="1"/>
  <c r="J654" i="1"/>
  <c r="L653" i="1"/>
  <c r="K653" i="1"/>
  <c r="J653" i="1"/>
  <c r="J652" i="1"/>
  <c r="K652" i="1" s="1"/>
  <c r="L652" i="1" s="1"/>
  <c r="J651" i="1"/>
  <c r="J650" i="1"/>
  <c r="J649" i="1"/>
  <c r="L648" i="1"/>
  <c r="K648" i="1"/>
  <c r="J648" i="1"/>
  <c r="K647" i="1"/>
  <c r="J647" i="1"/>
  <c r="L647" i="1" s="1"/>
  <c r="J646" i="1"/>
  <c r="L645" i="1"/>
  <c r="K645" i="1"/>
  <c r="J645" i="1"/>
  <c r="J644" i="1"/>
  <c r="K644" i="1" s="1"/>
  <c r="L644" i="1" s="1"/>
  <c r="K643" i="1"/>
  <c r="J643" i="1"/>
  <c r="J642" i="1"/>
  <c r="J641" i="1"/>
  <c r="K640" i="1"/>
  <c r="L640" i="1" s="1"/>
  <c r="J640" i="1"/>
  <c r="K639" i="1"/>
  <c r="J639" i="1"/>
  <c r="L639" i="1" s="1"/>
  <c r="J638" i="1"/>
  <c r="L637" i="1"/>
  <c r="K637" i="1"/>
  <c r="J637" i="1"/>
  <c r="J636" i="1"/>
  <c r="K636" i="1" s="1"/>
  <c r="L636" i="1" s="1"/>
  <c r="K635" i="1"/>
  <c r="J635" i="1"/>
  <c r="J634" i="1"/>
  <c r="J633" i="1"/>
  <c r="K632" i="1"/>
  <c r="L632" i="1" s="1"/>
  <c r="J632" i="1"/>
  <c r="K631" i="1"/>
  <c r="J631" i="1"/>
  <c r="L631" i="1" s="1"/>
  <c r="J630" i="1"/>
  <c r="L629" i="1"/>
  <c r="K629" i="1"/>
  <c r="J629" i="1"/>
  <c r="J628" i="1"/>
  <c r="K628" i="1" s="1"/>
  <c r="L628" i="1" s="1"/>
  <c r="K627" i="1"/>
  <c r="J627" i="1"/>
  <c r="J626" i="1"/>
  <c r="J625" i="1"/>
  <c r="L624" i="1"/>
  <c r="K624" i="1"/>
  <c r="J624" i="1"/>
  <c r="K623" i="1"/>
  <c r="J623" i="1"/>
  <c r="L623" i="1" s="1"/>
  <c r="J622" i="1"/>
  <c r="L621" i="1"/>
  <c r="K621" i="1"/>
  <c r="J621" i="1"/>
  <c r="J620" i="1"/>
  <c r="K620" i="1" s="1"/>
  <c r="L620" i="1" s="1"/>
  <c r="J619" i="1"/>
  <c r="J618" i="1"/>
  <c r="J617" i="1"/>
  <c r="L616" i="1"/>
  <c r="K616" i="1"/>
  <c r="J616" i="1"/>
  <c r="K615" i="1"/>
  <c r="J615" i="1"/>
  <c r="L615" i="1" s="1"/>
  <c r="J614" i="1"/>
  <c r="L613" i="1"/>
  <c r="K613" i="1"/>
  <c r="J613" i="1"/>
  <c r="J612" i="1"/>
  <c r="K612" i="1" s="1"/>
  <c r="L612" i="1" s="1"/>
  <c r="K611" i="1"/>
  <c r="J611" i="1"/>
  <c r="J610" i="1"/>
  <c r="J609" i="1"/>
  <c r="L608" i="1"/>
  <c r="K608" i="1"/>
  <c r="J608" i="1"/>
  <c r="K607" i="1"/>
  <c r="J607" i="1"/>
  <c r="L607" i="1" s="1"/>
  <c r="J606" i="1"/>
  <c r="L605" i="1"/>
  <c r="K605" i="1"/>
  <c r="J605" i="1"/>
  <c r="J604" i="1"/>
  <c r="K604" i="1" s="1"/>
  <c r="L604" i="1" s="1"/>
  <c r="K603" i="1"/>
  <c r="J603" i="1"/>
  <c r="J602" i="1"/>
  <c r="J601" i="1"/>
  <c r="K600" i="1"/>
  <c r="L600" i="1" s="1"/>
  <c r="J600" i="1"/>
  <c r="K599" i="1"/>
  <c r="J599" i="1"/>
  <c r="L599" i="1" s="1"/>
  <c r="J598" i="1"/>
  <c r="L597" i="1"/>
  <c r="K597" i="1"/>
  <c r="J597" i="1"/>
  <c r="J596" i="1"/>
  <c r="K596" i="1" s="1"/>
  <c r="L596" i="1" s="1"/>
  <c r="J595" i="1"/>
  <c r="J594" i="1"/>
  <c r="J593" i="1"/>
  <c r="L592" i="1"/>
  <c r="K592" i="1"/>
  <c r="J592" i="1"/>
  <c r="K591" i="1"/>
  <c r="J591" i="1"/>
  <c r="L591" i="1" s="1"/>
  <c r="J590" i="1"/>
  <c r="L589" i="1"/>
  <c r="K589" i="1"/>
  <c r="J589" i="1"/>
  <c r="J588" i="1"/>
  <c r="K588" i="1" s="1"/>
  <c r="L588" i="1" s="1"/>
  <c r="J587" i="1"/>
  <c r="J586" i="1"/>
  <c r="J585" i="1"/>
  <c r="L584" i="1"/>
  <c r="K584" i="1"/>
  <c r="J584" i="1"/>
  <c r="K583" i="1"/>
  <c r="J583" i="1"/>
  <c r="L583" i="1" s="1"/>
  <c r="J582" i="1"/>
  <c r="L581" i="1"/>
  <c r="K581" i="1"/>
  <c r="J581" i="1"/>
  <c r="J580" i="1"/>
  <c r="K580" i="1" s="1"/>
  <c r="L580" i="1" s="1"/>
  <c r="K579" i="1"/>
  <c r="J579" i="1"/>
  <c r="J578" i="1"/>
  <c r="J577" i="1"/>
  <c r="K576" i="1"/>
  <c r="L576" i="1" s="1"/>
  <c r="J576" i="1"/>
  <c r="K575" i="1"/>
  <c r="J575" i="1"/>
  <c r="L575" i="1" s="1"/>
  <c r="J574" i="1"/>
  <c r="L573" i="1"/>
  <c r="K573" i="1"/>
  <c r="J573" i="1"/>
  <c r="L572" i="1"/>
  <c r="J572" i="1"/>
  <c r="K572" i="1" s="1"/>
  <c r="J571" i="1"/>
  <c r="J570" i="1"/>
  <c r="J569" i="1"/>
  <c r="K568" i="1"/>
  <c r="L568" i="1" s="1"/>
  <c r="J568" i="1"/>
  <c r="K567" i="1"/>
  <c r="J567" i="1"/>
  <c r="J566" i="1"/>
  <c r="L565" i="1"/>
  <c r="K565" i="1"/>
  <c r="J565" i="1"/>
  <c r="L564" i="1"/>
  <c r="J564" i="1"/>
  <c r="K564" i="1" s="1"/>
  <c r="K563" i="1"/>
  <c r="J563" i="1"/>
  <c r="J562" i="1"/>
  <c r="J561" i="1"/>
  <c r="K560" i="1"/>
  <c r="L560" i="1" s="1"/>
  <c r="J560" i="1"/>
  <c r="K559" i="1"/>
  <c r="J559" i="1"/>
  <c r="J558" i="1"/>
  <c r="L557" i="1"/>
  <c r="K557" i="1"/>
  <c r="J557" i="1"/>
  <c r="J556" i="1"/>
  <c r="K556" i="1" s="1"/>
  <c r="L556" i="1" s="1"/>
  <c r="K555" i="1"/>
  <c r="J555" i="1"/>
  <c r="J554" i="1"/>
  <c r="J553" i="1"/>
  <c r="L552" i="1"/>
  <c r="K552" i="1"/>
  <c r="J552" i="1"/>
  <c r="K551" i="1"/>
  <c r="J551" i="1"/>
  <c r="L551" i="1" s="1"/>
  <c r="J550" i="1"/>
  <c r="L549" i="1"/>
  <c r="K549" i="1"/>
  <c r="J549" i="1"/>
  <c r="J548" i="1"/>
  <c r="K548" i="1" s="1"/>
  <c r="L548" i="1" s="1"/>
  <c r="K547" i="1"/>
  <c r="J547" i="1"/>
  <c r="J546" i="1"/>
  <c r="J545" i="1"/>
  <c r="K544" i="1"/>
  <c r="L544" i="1" s="1"/>
  <c r="J544" i="1"/>
  <c r="K543" i="1"/>
  <c r="J543" i="1"/>
  <c r="L543" i="1" s="1"/>
  <c r="J542" i="1"/>
  <c r="L541" i="1"/>
  <c r="K541" i="1"/>
  <c r="J541" i="1"/>
  <c r="L540" i="1"/>
  <c r="J540" i="1"/>
  <c r="K540" i="1" s="1"/>
  <c r="J539" i="1"/>
  <c r="J538" i="1"/>
  <c r="J537" i="1"/>
  <c r="K536" i="1"/>
  <c r="L536" i="1" s="1"/>
  <c r="J536" i="1"/>
  <c r="K535" i="1"/>
  <c r="J535" i="1"/>
  <c r="L535" i="1" s="1"/>
  <c r="J534" i="1"/>
  <c r="L533" i="1"/>
  <c r="K533" i="1"/>
  <c r="J533" i="1"/>
  <c r="J532" i="1"/>
  <c r="K532" i="1" s="1"/>
  <c r="L532" i="1" s="1"/>
  <c r="J531" i="1"/>
  <c r="J530" i="1"/>
  <c r="J529" i="1"/>
  <c r="L528" i="1"/>
  <c r="K528" i="1"/>
  <c r="J528" i="1"/>
  <c r="K527" i="1"/>
  <c r="J527" i="1"/>
  <c r="J526" i="1"/>
  <c r="L525" i="1"/>
  <c r="K525" i="1"/>
  <c r="J525" i="1"/>
  <c r="J524" i="1"/>
  <c r="K524" i="1" s="1"/>
  <c r="L524" i="1" s="1"/>
  <c r="J523" i="1"/>
  <c r="J522" i="1"/>
  <c r="J521" i="1"/>
  <c r="K520" i="1"/>
  <c r="L520" i="1" s="1"/>
  <c r="J520" i="1"/>
  <c r="K519" i="1"/>
  <c r="J519" i="1"/>
  <c r="L519" i="1" s="1"/>
  <c r="J518" i="1"/>
  <c r="L517" i="1"/>
  <c r="K517" i="1"/>
  <c r="J517" i="1"/>
  <c r="L516" i="1"/>
  <c r="J516" i="1"/>
  <c r="K516" i="1" s="1"/>
  <c r="J515" i="1"/>
  <c r="K515" i="1" s="1"/>
  <c r="J514" i="1"/>
  <c r="J513" i="1"/>
  <c r="K512" i="1"/>
  <c r="L512" i="1" s="1"/>
  <c r="J512" i="1"/>
  <c r="K511" i="1"/>
  <c r="J511" i="1"/>
  <c r="L511" i="1" s="1"/>
  <c r="K510" i="1"/>
  <c r="J510" i="1"/>
  <c r="L509" i="1"/>
  <c r="K509" i="1"/>
  <c r="J509" i="1"/>
  <c r="J508" i="1"/>
  <c r="K508" i="1" s="1"/>
  <c r="L508" i="1" s="1"/>
  <c r="L507" i="1"/>
  <c r="K507" i="1"/>
  <c r="J507" i="1"/>
  <c r="J506" i="1"/>
  <c r="J505" i="1"/>
  <c r="L504" i="1"/>
  <c r="K504" i="1"/>
  <c r="J504" i="1"/>
  <c r="K503" i="1"/>
  <c r="J503" i="1"/>
  <c r="K502" i="1"/>
  <c r="J502" i="1"/>
  <c r="L501" i="1"/>
  <c r="K501" i="1"/>
  <c r="J501" i="1"/>
  <c r="J500" i="1"/>
  <c r="K500" i="1" s="1"/>
  <c r="L500" i="1" s="1"/>
  <c r="L499" i="1"/>
  <c r="K499" i="1"/>
  <c r="J499" i="1"/>
  <c r="J498" i="1"/>
  <c r="J497" i="1"/>
  <c r="K496" i="1"/>
  <c r="L496" i="1" s="1"/>
  <c r="J496" i="1"/>
  <c r="K495" i="1"/>
  <c r="J495" i="1"/>
  <c r="J494" i="1"/>
  <c r="L493" i="1"/>
  <c r="K493" i="1"/>
  <c r="J493" i="1"/>
  <c r="L492" i="1"/>
  <c r="J492" i="1"/>
  <c r="K492" i="1" s="1"/>
  <c r="J491" i="1"/>
  <c r="K491" i="1" s="1"/>
  <c r="L491" i="1" s="1"/>
  <c r="J490" i="1"/>
  <c r="J489" i="1"/>
  <c r="K488" i="1"/>
  <c r="L488" i="1" s="1"/>
  <c r="J488" i="1"/>
  <c r="K487" i="1"/>
  <c r="J487" i="1"/>
  <c r="J486" i="1"/>
  <c r="L485" i="1"/>
  <c r="K485" i="1"/>
  <c r="J485" i="1"/>
  <c r="L484" i="1"/>
  <c r="J484" i="1"/>
  <c r="K484" i="1" s="1"/>
  <c r="J483" i="1"/>
  <c r="J482" i="1"/>
  <c r="J481" i="1"/>
  <c r="L480" i="1"/>
  <c r="K480" i="1"/>
  <c r="J480" i="1"/>
  <c r="K479" i="1"/>
  <c r="J479" i="1"/>
  <c r="L479" i="1" s="1"/>
  <c r="J478" i="1"/>
  <c r="L477" i="1"/>
  <c r="K477" i="1"/>
  <c r="J477" i="1"/>
  <c r="J476" i="1"/>
  <c r="K476" i="1" s="1"/>
  <c r="J475" i="1"/>
  <c r="L474" i="1"/>
  <c r="J474" i="1"/>
  <c r="K474" i="1" s="1"/>
  <c r="J473" i="1"/>
  <c r="J472" i="1"/>
  <c r="K471" i="1"/>
  <c r="J471" i="1"/>
  <c r="L471" i="1" s="1"/>
  <c r="J470" i="1"/>
  <c r="K470" i="1" s="1"/>
  <c r="L470" i="1" s="1"/>
  <c r="L469" i="1"/>
  <c r="K469" i="1"/>
  <c r="J469" i="1"/>
  <c r="L468" i="1"/>
  <c r="J468" i="1"/>
  <c r="K468" i="1" s="1"/>
  <c r="J467" i="1"/>
  <c r="K467" i="1" s="1"/>
  <c r="L467" i="1" s="1"/>
  <c r="L466" i="1"/>
  <c r="J466" i="1"/>
  <c r="K466" i="1" s="1"/>
  <c r="J465" i="1"/>
  <c r="L464" i="1"/>
  <c r="K464" i="1"/>
  <c r="J464" i="1"/>
  <c r="K463" i="1"/>
  <c r="J463" i="1"/>
  <c r="L463" i="1" s="1"/>
  <c r="J462" i="1"/>
  <c r="L461" i="1"/>
  <c r="K461" i="1"/>
  <c r="J461" i="1"/>
  <c r="J460" i="1"/>
  <c r="K460" i="1" s="1"/>
  <c r="J459" i="1"/>
  <c r="L458" i="1"/>
  <c r="J458" i="1"/>
  <c r="K458" i="1" s="1"/>
  <c r="J457" i="1"/>
  <c r="J456" i="1"/>
  <c r="J455" i="1"/>
  <c r="J454" i="1"/>
  <c r="K454" i="1" s="1"/>
  <c r="L454" i="1" s="1"/>
  <c r="L453" i="1"/>
  <c r="K453" i="1"/>
  <c r="J453" i="1"/>
  <c r="L452" i="1"/>
  <c r="K452" i="1"/>
  <c r="J452" i="1"/>
  <c r="J451" i="1"/>
  <c r="J450" i="1"/>
  <c r="K450" i="1" s="1"/>
  <c r="L449" i="1"/>
  <c r="K449" i="1"/>
  <c r="J449" i="1"/>
  <c r="J448" i="1"/>
  <c r="J447" i="1"/>
  <c r="K446" i="1"/>
  <c r="L446" i="1" s="1"/>
  <c r="J446" i="1"/>
  <c r="K445" i="1"/>
  <c r="L445" i="1" s="1"/>
  <c r="J445" i="1"/>
  <c r="J444" i="1"/>
  <c r="L443" i="1"/>
  <c r="K443" i="1"/>
  <c r="J443" i="1"/>
  <c r="J442" i="1"/>
  <c r="K442" i="1" s="1"/>
  <c r="J441" i="1"/>
  <c r="L440" i="1"/>
  <c r="K440" i="1"/>
  <c r="J440" i="1"/>
  <c r="J439" i="1"/>
  <c r="J438" i="1"/>
  <c r="L437" i="1"/>
  <c r="K437" i="1"/>
  <c r="J437" i="1"/>
  <c r="K436" i="1"/>
  <c r="L436" i="1" s="1"/>
  <c r="J436" i="1"/>
  <c r="J435" i="1"/>
  <c r="L434" i="1"/>
  <c r="J434" i="1"/>
  <c r="K434" i="1" s="1"/>
  <c r="K433" i="1"/>
  <c r="L433" i="1" s="1"/>
  <c r="J433" i="1"/>
  <c r="K432" i="1"/>
  <c r="J432" i="1"/>
  <c r="K431" i="1"/>
  <c r="J431" i="1"/>
  <c r="K430" i="1"/>
  <c r="L430" i="1" s="1"/>
  <c r="J430" i="1"/>
  <c r="K429" i="1"/>
  <c r="L429" i="1" s="1"/>
  <c r="J429" i="1"/>
  <c r="J428" i="1"/>
  <c r="K428" i="1" s="1"/>
  <c r="L428" i="1" s="1"/>
  <c r="J427" i="1"/>
  <c r="J426" i="1"/>
  <c r="K426" i="1" s="1"/>
  <c r="J425" i="1"/>
  <c r="K425" i="1" s="1"/>
  <c r="L425" i="1" s="1"/>
  <c r="J424" i="1"/>
  <c r="K423" i="1"/>
  <c r="L423" i="1" s="1"/>
  <c r="J423" i="1"/>
  <c r="J422" i="1"/>
  <c r="J421" i="1"/>
  <c r="L420" i="1"/>
  <c r="K420" i="1"/>
  <c r="J420" i="1"/>
  <c r="K419" i="1"/>
  <c r="L419" i="1" s="1"/>
  <c r="J419" i="1"/>
  <c r="K418" i="1"/>
  <c r="J418" i="1"/>
  <c r="J417" i="1"/>
  <c r="K417" i="1" s="1"/>
  <c r="L417" i="1" s="1"/>
  <c r="J416" i="1"/>
  <c r="L415" i="1"/>
  <c r="K415" i="1"/>
  <c r="J415" i="1"/>
  <c r="J414" i="1"/>
  <c r="J413" i="1"/>
  <c r="L412" i="1"/>
  <c r="K412" i="1"/>
  <c r="J412" i="1"/>
  <c r="K411" i="1"/>
  <c r="L411" i="1" s="1"/>
  <c r="J411" i="1"/>
  <c r="J410" i="1"/>
  <c r="K410" i="1" s="1"/>
  <c r="J409" i="1"/>
  <c r="K409" i="1" s="1"/>
  <c r="L409" i="1" s="1"/>
  <c r="J408" i="1"/>
  <c r="K407" i="1"/>
  <c r="L407" i="1" s="1"/>
  <c r="J407" i="1"/>
  <c r="J406" i="1"/>
  <c r="J405" i="1"/>
  <c r="L404" i="1"/>
  <c r="K404" i="1"/>
  <c r="J404" i="1"/>
  <c r="K403" i="1"/>
  <c r="L403" i="1" s="1"/>
  <c r="J403" i="1"/>
  <c r="K402" i="1"/>
  <c r="J402" i="1"/>
  <c r="J401" i="1"/>
  <c r="K401" i="1" s="1"/>
  <c r="L401" i="1" s="1"/>
  <c r="J400" i="1"/>
  <c r="K400" i="1" s="1"/>
  <c r="L400" i="1" s="1"/>
  <c r="L399" i="1"/>
  <c r="K399" i="1"/>
  <c r="J399" i="1"/>
  <c r="J398" i="1"/>
  <c r="J397" i="1"/>
  <c r="L396" i="1"/>
  <c r="K396" i="1"/>
  <c r="J396" i="1"/>
  <c r="K395" i="1"/>
  <c r="L395" i="1" s="1"/>
  <c r="J395" i="1"/>
  <c r="J394" i="1"/>
  <c r="J393" i="1"/>
  <c r="K393" i="1" s="1"/>
  <c r="L393" i="1" s="1"/>
  <c r="J392" i="1"/>
  <c r="K392" i="1" s="1"/>
  <c r="L392" i="1" s="1"/>
  <c r="K391" i="1"/>
  <c r="L391" i="1" s="1"/>
  <c r="J391" i="1"/>
  <c r="J390" i="1"/>
  <c r="J389" i="1"/>
  <c r="L388" i="1"/>
  <c r="K388" i="1"/>
  <c r="J388" i="1"/>
  <c r="K387" i="1"/>
  <c r="L387" i="1" s="1"/>
  <c r="J387" i="1"/>
  <c r="K386" i="1"/>
  <c r="J386" i="1"/>
  <c r="J385" i="1"/>
  <c r="K385" i="1" s="1"/>
  <c r="L385" i="1" s="1"/>
  <c r="J384" i="1"/>
  <c r="K384" i="1" s="1"/>
  <c r="L384" i="1" s="1"/>
  <c r="L383" i="1"/>
  <c r="K383" i="1"/>
  <c r="J383" i="1"/>
  <c r="J382" i="1"/>
  <c r="J381" i="1"/>
  <c r="L380" i="1"/>
  <c r="K380" i="1"/>
  <c r="J380" i="1"/>
  <c r="K379" i="1"/>
  <c r="L379" i="1" s="1"/>
  <c r="J379" i="1"/>
  <c r="J378" i="1"/>
  <c r="K378" i="1" s="1"/>
  <c r="J377" i="1"/>
  <c r="K377" i="1" s="1"/>
  <c r="L377" i="1" s="1"/>
  <c r="J376" i="1"/>
  <c r="K376" i="1" s="1"/>
  <c r="L376" i="1" s="1"/>
  <c r="K375" i="1"/>
  <c r="L375" i="1" s="1"/>
  <c r="J375" i="1"/>
  <c r="J374" i="1"/>
  <c r="J373" i="1"/>
  <c r="L372" i="1"/>
  <c r="K372" i="1"/>
  <c r="J372" i="1"/>
  <c r="K371" i="1"/>
  <c r="L371" i="1" s="1"/>
  <c r="J371" i="1"/>
  <c r="K370" i="1"/>
  <c r="J370" i="1"/>
  <c r="J369" i="1"/>
  <c r="K369" i="1" s="1"/>
  <c r="L369" i="1" s="1"/>
  <c r="J368" i="1"/>
  <c r="K368" i="1" s="1"/>
  <c r="L368" i="1" s="1"/>
  <c r="L367" i="1"/>
  <c r="K367" i="1"/>
  <c r="J367" i="1"/>
  <c r="J366" i="1"/>
  <c r="J365" i="1"/>
  <c r="L364" i="1"/>
  <c r="K364" i="1"/>
  <c r="J364" i="1"/>
  <c r="K363" i="1"/>
  <c r="L363" i="1" s="1"/>
  <c r="J363" i="1"/>
  <c r="J362" i="1"/>
  <c r="J361" i="1"/>
  <c r="K361" i="1" s="1"/>
  <c r="L361" i="1" s="1"/>
  <c r="J360" i="1"/>
  <c r="K360" i="1" s="1"/>
  <c r="L360" i="1" s="1"/>
  <c r="K359" i="1"/>
  <c r="L359" i="1" s="1"/>
  <c r="J359" i="1"/>
  <c r="J358" i="1"/>
  <c r="J357" i="1"/>
  <c r="L356" i="1"/>
  <c r="K356" i="1"/>
  <c r="J356" i="1"/>
  <c r="K355" i="1"/>
  <c r="L355" i="1" s="1"/>
  <c r="J355" i="1"/>
  <c r="K354" i="1"/>
  <c r="J354" i="1"/>
  <c r="J353" i="1"/>
  <c r="K353" i="1" s="1"/>
  <c r="L353" i="1" s="1"/>
  <c r="J352" i="1"/>
  <c r="K352" i="1" s="1"/>
  <c r="L352" i="1" s="1"/>
  <c r="L351" i="1"/>
  <c r="K351" i="1"/>
  <c r="J351" i="1"/>
  <c r="J350" i="1"/>
  <c r="J349" i="1"/>
  <c r="L348" i="1"/>
  <c r="K348" i="1"/>
  <c r="J348" i="1"/>
  <c r="K347" i="1"/>
  <c r="L347" i="1" s="1"/>
  <c r="J347" i="1"/>
  <c r="J346" i="1"/>
  <c r="K346" i="1" s="1"/>
  <c r="J345" i="1"/>
  <c r="K345" i="1" s="1"/>
  <c r="L345" i="1" s="1"/>
  <c r="J344" i="1"/>
  <c r="K344" i="1" s="1"/>
  <c r="L344" i="1" s="1"/>
  <c r="K343" i="1"/>
  <c r="L343" i="1" s="1"/>
  <c r="J343" i="1"/>
  <c r="J342" i="1"/>
  <c r="J341" i="1"/>
  <c r="L340" i="1"/>
  <c r="K340" i="1"/>
  <c r="J340" i="1"/>
  <c r="K339" i="1"/>
  <c r="L339" i="1" s="1"/>
  <c r="J339" i="1"/>
  <c r="K338" i="1"/>
  <c r="J338" i="1"/>
  <c r="J337" i="1"/>
  <c r="K337" i="1" s="1"/>
  <c r="L337" i="1" s="1"/>
  <c r="J336" i="1"/>
  <c r="K336" i="1" s="1"/>
  <c r="L336" i="1" s="1"/>
  <c r="L335" i="1"/>
  <c r="K335" i="1"/>
  <c r="J335" i="1"/>
  <c r="J334" i="1"/>
  <c r="J333" i="1"/>
  <c r="L332" i="1"/>
  <c r="K332" i="1"/>
  <c r="J332" i="1"/>
  <c r="K331" i="1"/>
  <c r="L331" i="1" s="1"/>
  <c r="J331" i="1"/>
  <c r="J330" i="1"/>
  <c r="J329" i="1"/>
  <c r="K329" i="1" s="1"/>
  <c r="L329" i="1" s="1"/>
  <c r="J328" i="1"/>
  <c r="K328" i="1" s="1"/>
  <c r="L328" i="1" s="1"/>
  <c r="K327" i="1"/>
  <c r="L327" i="1" s="1"/>
  <c r="J327" i="1"/>
  <c r="J326" i="1"/>
  <c r="J325" i="1"/>
  <c r="L324" i="1"/>
  <c r="K324" i="1"/>
  <c r="J324" i="1"/>
  <c r="K323" i="1"/>
  <c r="L323" i="1" s="1"/>
  <c r="J323" i="1"/>
  <c r="K322" i="1"/>
  <c r="J322" i="1"/>
  <c r="J321" i="1"/>
  <c r="K321" i="1" s="1"/>
  <c r="L321" i="1" s="1"/>
  <c r="J320" i="1"/>
  <c r="K320" i="1" s="1"/>
  <c r="L320" i="1" s="1"/>
  <c r="L319" i="1"/>
  <c r="K319" i="1"/>
  <c r="J319" i="1"/>
  <c r="J318" i="1"/>
  <c r="J317" i="1"/>
  <c r="L316" i="1"/>
  <c r="K316" i="1"/>
  <c r="J316" i="1"/>
  <c r="K315" i="1"/>
  <c r="L315" i="1" s="1"/>
  <c r="J315" i="1"/>
  <c r="J314" i="1"/>
  <c r="K314" i="1" s="1"/>
  <c r="J313" i="1"/>
  <c r="K313" i="1" s="1"/>
  <c r="L313" i="1" s="1"/>
  <c r="J312" i="1"/>
  <c r="K312" i="1" s="1"/>
  <c r="L312" i="1" s="1"/>
  <c r="K311" i="1"/>
  <c r="L311" i="1" s="1"/>
  <c r="J311" i="1"/>
  <c r="J310" i="1"/>
  <c r="J309" i="1"/>
  <c r="L308" i="1"/>
  <c r="K308" i="1"/>
  <c r="J308" i="1"/>
  <c r="K307" i="1"/>
  <c r="L307" i="1" s="1"/>
  <c r="J307" i="1"/>
  <c r="K306" i="1"/>
  <c r="J306" i="1"/>
  <c r="J305" i="1"/>
  <c r="K305" i="1" s="1"/>
  <c r="L305" i="1" s="1"/>
  <c r="J304" i="1"/>
  <c r="K304" i="1" s="1"/>
  <c r="L304" i="1" s="1"/>
  <c r="L303" i="1"/>
  <c r="K303" i="1"/>
  <c r="J303" i="1"/>
  <c r="J302" i="1"/>
  <c r="J301" i="1"/>
  <c r="L300" i="1"/>
  <c r="K300" i="1"/>
  <c r="J300" i="1"/>
  <c r="K299" i="1"/>
  <c r="L299" i="1" s="1"/>
  <c r="J299" i="1"/>
  <c r="J298" i="1"/>
  <c r="J297" i="1"/>
  <c r="K297" i="1" s="1"/>
  <c r="L297" i="1" s="1"/>
  <c r="J296" i="1"/>
  <c r="K296" i="1" s="1"/>
  <c r="L296" i="1" s="1"/>
  <c r="K295" i="1"/>
  <c r="L295" i="1" s="1"/>
  <c r="J295" i="1"/>
  <c r="J294" i="1"/>
  <c r="J293" i="1"/>
  <c r="L292" i="1"/>
  <c r="K292" i="1"/>
  <c r="J292" i="1"/>
  <c r="K291" i="1"/>
  <c r="L291" i="1" s="1"/>
  <c r="J291" i="1"/>
  <c r="K290" i="1"/>
  <c r="J290" i="1"/>
  <c r="J289" i="1"/>
  <c r="K289" i="1" s="1"/>
  <c r="L289" i="1" s="1"/>
  <c r="J288" i="1"/>
  <c r="K288" i="1" s="1"/>
  <c r="L288" i="1" s="1"/>
  <c r="L287" i="1"/>
  <c r="K287" i="1"/>
  <c r="J287" i="1"/>
  <c r="J286" i="1"/>
  <c r="J285" i="1"/>
  <c r="L284" i="1"/>
  <c r="K284" i="1"/>
  <c r="J284" i="1"/>
  <c r="K283" i="1"/>
  <c r="L283" i="1" s="1"/>
  <c r="J283" i="1"/>
  <c r="J282" i="1"/>
  <c r="K282" i="1" s="1"/>
  <c r="J281" i="1"/>
  <c r="K281" i="1" s="1"/>
  <c r="L281" i="1" s="1"/>
  <c r="J280" i="1"/>
  <c r="K280" i="1" s="1"/>
  <c r="L280" i="1" s="1"/>
  <c r="K279" i="1"/>
  <c r="L279" i="1" s="1"/>
  <c r="J279" i="1"/>
  <c r="J278" i="1"/>
  <c r="J277" i="1"/>
  <c r="L276" i="1"/>
  <c r="K276" i="1"/>
  <c r="J276" i="1"/>
  <c r="K275" i="1"/>
  <c r="L275" i="1" s="1"/>
  <c r="J275" i="1"/>
  <c r="K274" i="1"/>
  <c r="J274" i="1"/>
  <c r="J273" i="1"/>
  <c r="K273" i="1" s="1"/>
  <c r="L273" i="1" s="1"/>
  <c r="J272" i="1"/>
  <c r="K272" i="1" s="1"/>
  <c r="L272" i="1" s="1"/>
  <c r="L271" i="1"/>
  <c r="K271" i="1"/>
  <c r="J271" i="1"/>
  <c r="J270" i="1"/>
  <c r="J269" i="1"/>
  <c r="L268" i="1"/>
  <c r="K268" i="1"/>
  <c r="J268" i="1"/>
  <c r="K267" i="1"/>
  <c r="L267" i="1" s="1"/>
  <c r="J267" i="1"/>
  <c r="J266" i="1"/>
  <c r="J265" i="1"/>
  <c r="K265" i="1" s="1"/>
  <c r="L265" i="1" s="1"/>
  <c r="J264" i="1"/>
  <c r="K264" i="1" s="1"/>
  <c r="L264" i="1" s="1"/>
  <c r="K263" i="1"/>
  <c r="L263" i="1" s="1"/>
  <c r="J263" i="1"/>
  <c r="J262" i="1"/>
  <c r="J261" i="1"/>
  <c r="L260" i="1"/>
  <c r="K260" i="1"/>
  <c r="J260" i="1"/>
  <c r="K259" i="1"/>
  <c r="L259" i="1" s="1"/>
  <c r="J259" i="1"/>
  <c r="K258" i="1"/>
  <c r="J258" i="1"/>
  <c r="J257" i="1"/>
  <c r="K257" i="1" s="1"/>
  <c r="L257" i="1" s="1"/>
  <c r="L256" i="1"/>
  <c r="J256" i="1"/>
  <c r="K256" i="1" s="1"/>
  <c r="K255" i="1"/>
  <c r="L255" i="1" s="1"/>
  <c r="J255" i="1"/>
  <c r="J254" i="1"/>
  <c r="J253" i="1"/>
  <c r="L252" i="1"/>
  <c r="K252" i="1"/>
  <c r="J252" i="1"/>
  <c r="K251" i="1"/>
  <c r="L251" i="1" s="1"/>
  <c r="J251" i="1"/>
  <c r="L250" i="1"/>
  <c r="K250" i="1"/>
  <c r="J250" i="1"/>
  <c r="J249" i="1"/>
  <c r="K249" i="1" s="1"/>
  <c r="L249" i="1" s="1"/>
  <c r="L248" i="1"/>
  <c r="J248" i="1"/>
  <c r="K248" i="1" s="1"/>
  <c r="K247" i="1"/>
  <c r="L247" i="1" s="1"/>
  <c r="J247" i="1"/>
  <c r="J246" i="1"/>
  <c r="J245" i="1"/>
  <c r="L244" i="1"/>
  <c r="K244" i="1"/>
  <c r="J244" i="1"/>
  <c r="K243" i="1"/>
  <c r="L243" i="1" s="1"/>
  <c r="J243" i="1"/>
  <c r="J242" i="1"/>
  <c r="J241" i="1"/>
  <c r="K241" i="1" s="1"/>
  <c r="L241" i="1" s="1"/>
  <c r="J240" i="1"/>
  <c r="K240" i="1" s="1"/>
  <c r="K239" i="1"/>
  <c r="L239" i="1" s="1"/>
  <c r="J239" i="1"/>
  <c r="J238" i="1"/>
  <c r="K237" i="1"/>
  <c r="J237" i="1"/>
  <c r="L236" i="1"/>
  <c r="K236" i="1"/>
  <c r="J236" i="1"/>
  <c r="K235" i="1"/>
  <c r="L235" i="1" s="1"/>
  <c r="J235" i="1"/>
  <c r="K234" i="1"/>
  <c r="J234" i="1"/>
  <c r="L234" i="1" s="1"/>
  <c r="J233" i="1"/>
  <c r="K233" i="1" s="1"/>
  <c r="L233" i="1" s="1"/>
  <c r="J232" i="1"/>
  <c r="K232" i="1" s="1"/>
  <c r="L231" i="1"/>
  <c r="K231" i="1"/>
  <c r="J231" i="1"/>
  <c r="J230" i="1"/>
  <c r="K229" i="1"/>
  <c r="J229" i="1"/>
  <c r="L228" i="1"/>
  <c r="K228" i="1"/>
  <c r="J228" i="1"/>
  <c r="K227" i="1"/>
  <c r="L227" i="1" s="1"/>
  <c r="J227" i="1"/>
  <c r="L226" i="1"/>
  <c r="K226" i="1"/>
  <c r="J226" i="1"/>
  <c r="J225" i="1"/>
  <c r="K225" i="1" s="1"/>
  <c r="L225" i="1" s="1"/>
  <c r="J224" i="1"/>
  <c r="K224" i="1" s="1"/>
  <c r="L223" i="1"/>
  <c r="K223" i="1"/>
  <c r="J223" i="1"/>
  <c r="J222" i="1"/>
  <c r="J221" i="1"/>
  <c r="L220" i="1"/>
  <c r="K220" i="1"/>
  <c r="J220" i="1"/>
  <c r="K219" i="1"/>
  <c r="L219" i="1" s="1"/>
  <c r="J219" i="1"/>
  <c r="J218" i="1"/>
  <c r="J217" i="1"/>
  <c r="K217" i="1" s="1"/>
  <c r="L217" i="1" s="1"/>
  <c r="L216" i="1"/>
  <c r="J216" i="1"/>
  <c r="K216" i="1" s="1"/>
  <c r="K215" i="1"/>
  <c r="L215" i="1" s="1"/>
  <c r="J215" i="1"/>
  <c r="J214" i="1"/>
  <c r="J213" i="1"/>
  <c r="K213" i="1" s="1"/>
  <c r="L212" i="1"/>
  <c r="K212" i="1"/>
  <c r="J212" i="1"/>
  <c r="K211" i="1"/>
  <c r="L211" i="1" s="1"/>
  <c r="J211" i="1"/>
  <c r="J210" i="1"/>
  <c r="J209" i="1"/>
  <c r="K209" i="1" s="1"/>
  <c r="L209" i="1" s="1"/>
  <c r="L208" i="1"/>
  <c r="J208" i="1"/>
  <c r="K208" i="1" s="1"/>
  <c r="L207" i="1"/>
  <c r="K207" i="1"/>
  <c r="J207" i="1"/>
  <c r="J206" i="1"/>
  <c r="J205" i="1"/>
  <c r="K205" i="1" s="1"/>
  <c r="L204" i="1"/>
  <c r="K204" i="1"/>
  <c r="J204" i="1"/>
  <c r="K203" i="1"/>
  <c r="L203" i="1" s="1"/>
  <c r="J203" i="1"/>
  <c r="J202" i="1"/>
  <c r="K202" i="1" s="1"/>
  <c r="J201" i="1"/>
  <c r="K201" i="1" s="1"/>
  <c r="L201" i="1" s="1"/>
  <c r="J200" i="1"/>
  <c r="K200" i="1" s="1"/>
  <c r="L199" i="1"/>
  <c r="K199" i="1"/>
  <c r="J199" i="1"/>
  <c r="J198" i="1"/>
  <c r="K197" i="1"/>
  <c r="J197" i="1"/>
  <c r="L196" i="1"/>
  <c r="K196" i="1"/>
  <c r="J196" i="1"/>
  <c r="K195" i="1"/>
  <c r="L195" i="1" s="1"/>
  <c r="J195" i="1"/>
  <c r="K194" i="1"/>
  <c r="L194" i="1" s="1"/>
  <c r="J194" i="1"/>
  <c r="J193" i="1"/>
  <c r="K193" i="1" s="1"/>
  <c r="L193" i="1" s="1"/>
  <c r="L192" i="1"/>
  <c r="J192" i="1"/>
  <c r="K192" i="1" s="1"/>
  <c r="J191" i="1"/>
  <c r="J190" i="1"/>
  <c r="K189" i="1"/>
  <c r="J189" i="1"/>
  <c r="L188" i="1"/>
  <c r="K188" i="1"/>
  <c r="J188" i="1"/>
  <c r="K187" i="1"/>
  <c r="L187" i="1" s="1"/>
  <c r="J187" i="1"/>
  <c r="L186" i="1"/>
  <c r="K186" i="1"/>
  <c r="J186" i="1"/>
  <c r="L185" i="1"/>
  <c r="J185" i="1"/>
  <c r="K185" i="1" s="1"/>
  <c r="J184" i="1"/>
  <c r="K184" i="1" s="1"/>
  <c r="K183" i="1"/>
  <c r="L183" i="1" s="1"/>
  <c r="J183" i="1"/>
  <c r="J182" i="1"/>
  <c r="K181" i="1"/>
  <c r="J181" i="1"/>
  <c r="K180" i="1"/>
  <c r="L180" i="1" s="1"/>
  <c r="J180" i="1"/>
  <c r="L179" i="1"/>
  <c r="K179" i="1"/>
  <c r="J179" i="1"/>
  <c r="L178" i="1"/>
  <c r="K178" i="1"/>
  <c r="J178" i="1"/>
  <c r="J177" i="1"/>
  <c r="K177" i="1" s="1"/>
  <c r="L176" i="1"/>
  <c r="J176" i="1"/>
  <c r="K176" i="1" s="1"/>
  <c r="K175" i="1"/>
  <c r="J175" i="1"/>
  <c r="L175" i="1" s="1"/>
  <c r="J174" i="1"/>
  <c r="J173" i="1"/>
  <c r="L172" i="1"/>
  <c r="K172" i="1"/>
  <c r="J172" i="1"/>
  <c r="L171" i="1"/>
  <c r="K171" i="1"/>
  <c r="J171" i="1"/>
  <c r="K170" i="1"/>
  <c r="L170" i="1" s="1"/>
  <c r="J170" i="1"/>
  <c r="J169" i="1"/>
  <c r="K169" i="1" s="1"/>
  <c r="L168" i="1"/>
  <c r="J168" i="1"/>
  <c r="K168" i="1" s="1"/>
  <c r="J167" i="1"/>
  <c r="K167" i="1" s="1"/>
  <c r="K166" i="1"/>
  <c r="J166" i="1"/>
  <c r="K165" i="1"/>
  <c r="J165" i="1"/>
  <c r="K164" i="1"/>
  <c r="L164" i="1" s="1"/>
  <c r="J164" i="1"/>
  <c r="L163" i="1"/>
  <c r="K163" i="1"/>
  <c r="J163" i="1"/>
  <c r="L162" i="1"/>
  <c r="K162" i="1"/>
  <c r="J162" i="1"/>
  <c r="J161" i="1"/>
  <c r="K161" i="1" s="1"/>
  <c r="L160" i="1"/>
  <c r="J160" i="1"/>
  <c r="K160" i="1" s="1"/>
  <c r="K159" i="1"/>
  <c r="J159" i="1"/>
  <c r="L159" i="1" s="1"/>
  <c r="J158" i="1"/>
  <c r="J157" i="1"/>
  <c r="K157" i="1" s="1"/>
  <c r="L156" i="1"/>
  <c r="K156" i="1"/>
  <c r="J156" i="1"/>
  <c r="L155" i="1"/>
  <c r="K155" i="1"/>
  <c r="J155" i="1"/>
  <c r="K154" i="1"/>
  <c r="L154" i="1" s="1"/>
  <c r="J154" i="1"/>
  <c r="J153" i="1"/>
  <c r="K153" i="1" s="1"/>
  <c r="L152" i="1"/>
  <c r="J152" i="1"/>
  <c r="K152" i="1" s="1"/>
  <c r="J151" i="1"/>
  <c r="K151" i="1" s="1"/>
  <c r="K150" i="1"/>
  <c r="J150" i="1"/>
  <c r="J149" i="1"/>
  <c r="K148" i="1"/>
  <c r="L148" i="1" s="1"/>
  <c r="J148" i="1"/>
  <c r="L147" i="1"/>
  <c r="K147" i="1"/>
  <c r="J147" i="1"/>
  <c r="K146" i="1"/>
  <c r="L146" i="1" s="1"/>
  <c r="J146" i="1"/>
  <c r="J145" i="1"/>
  <c r="K145" i="1" s="1"/>
  <c r="L144" i="1"/>
  <c r="J144" i="1"/>
  <c r="K144" i="1" s="1"/>
  <c r="J143" i="1"/>
  <c r="J142" i="1"/>
  <c r="J141" i="1"/>
  <c r="K141" i="1" s="1"/>
  <c r="L140" i="1"/>
  <c r="K140" i="1"/>
  <c r="J140" i="1"/>
  <c r="L139" i="1"/>
  <c r="K139" i="1"/>
  <c r="J139" i="1"/>
  <c r="K138" i="1"/>
  <c r="L138" i="1" s="1"/>
  <c r="J138" i="1"/>
  <c r="J137" i="1"/>
  <c r="K137" i="1" s="1"/>
  <c r="L136" i="1"/>
  <c r="J136" i="1"/>
  <c r="K136" i="1" s="1"/>
  <c r="J135" i="1"/>
  <c r="K135" i="1" s="1"/>
  <c r="K134" i="1"/>
  <c r="J134" i="1"/>
  <c r="J133" i="1"/>
  <c r="K132" i="1"/>
  <c r="L132" i="1" s="1"/>
  <c r="J132" i="1"/>
  <c r="L131" i="1"/>
  <c r="K131" i="1"/>
  <c r="J131" i="1"/>
  <c r="K130" i="1"/>
  <c r="L130" i="1" s="1"/>
  <c r="J130" i="1"/>
  <c r="J129" i="1"/>
  <c r="K129" i="1" s="1"/>
  <c r="L128" i="1"/>
  <c r="J128" i="1"/>
  <c r="K128" i="1" s="1"/>
  <c r="J127" i="1"/>
  <c r="J126" i="1"/>
  <c r="J125" i="1"/>
  <c r="L124" i="1"/>
  <c r="K124" i="1"/>
  <c r="J124" i="1"/>
  <c r="L123" i="1"/>
  <c r="K123" i="1"/>
  <c r="J123" i="1"/>
  <c r="K122" i="1"/>
  <c r="L122" i="1" s="1"/>
  <c r="J122" i="1"/>
  <c r="J121" i="1"/>
  <c r="K121" i="1" s="1"/>
  <c r="L120" i="1"/>
  <c r="J120" i="1"/>
  <c r="K120" i="1" s="1"/>
  <c r="J119" i="1"/>
  <c r="K119" i="1" s="1"/>
  <c r="K118" i="1"/>
  <c r="J118" i="1"/>
  <c r="J117" i="1"/>
  <c r="K116" i="1"/>
  <c r="L116" i="1" s="1"/>
  <c r="J116" i="1"/>
  <c r="L115" i="1"/>
  <c r="K115" i="1"/>
  <c r="J115" i="1"/>
  <c r="K114" i="1"/>
  <c r="L114" i="1" s="1"/>
  <c r="J114" i="1"/>
  <c r="J113" i="1"/>
  <c r="K113" i="1" s="1"/>
  <c r="L112" i="1"/>
  <c r="J112" i="1"/>
  <c r="K112" i="1" s="1"/>
  <c r="J111" i="1"/>
  <c r="J110" i="1"/>
  <c r="J109" i="1"/>
  <c r="K109" i="1" s="1"/>
  <c r="L108" i="1"/>
  <c r="K108" i="1"/>
  <c r="J108" i="1"/>
  <c r="L107" i="1"/>
  <c r="K107" i="1"/>
  <c r="J107" i="1"/>
  <c r="K106" i="1"/>
  <c r="L106" i="1" s="1"/>
  <c r="J106" i="1"/>
  <c r="J105" i="1"/>
  <c r="K105" i="1" s="1"/>
  <c r="L104" i="1"/>
  <c r="J104" i="1"/>
  <c r="K104" i="1" s="1"/>
  <c r="J103" i="1"/>
  <c r="K103" i="1" s="1"/>
  <c r="K102" i="1"/>
  <c r="J102" i="1"/>
  <c r="J101" i="1"/>
  <c r="K100" i="1"/>
  <c r="L100" i="1" s="1"/>
  <c r="J100" i="1"/>
  <c r="L99" i="1"/>
  <c r="K99" i="1"/>
  <c r="J99" i="1"/>
  <c r="K98" i="1"/>
  <c r="L98" i="1" s="1"/>
  <c r="J98" i="1"/>
  <c r="J97" i="1"/>
  <c r="K97" i="1" s="1"/>
  <c r="L96" i="1"/>
  <c r="J96" i="1"/>
  <c r="K96" i="1" s="1"/>
  <c r="J95" i="1"/>
  <c r="J94" i="1"/>
  <c r="J93" i="1"/>
  <c r="L92" i="1"/>
  <c r="K92" i="1"/>
  <c r="J92" i="1"/>
  <c r="L91" i="1"/>
  <c r="K91" i="1"/>
  <c r="J91" i="1"/>
  <c r="K90" i="1"/>
  <c r="L90" i="1" s="1"/>
  <c r="J90" i="1"/>
  <c r="J89" i="1"/>
  <c r="K89" i="1" s="1"/>
  <c r="L88" i="1"/>
  <c r="J88" i="1"/>
  <c r="K88" i="1" s="1"/>
  <c r="J87" i="1"/>
  <c r="K87" i="1" s="1"/>
  <c r="K86" i="1"/>
  <c r="J86" i="1"/>
  <c r="J85" i="1"/>
  <c r="J84" i="1"/>
  <c r="L83" i="1"/>
  <c r="K83" i="1"/>
  <c r="J83" i="1"/>
  <c r="K82" i="1"/>
  <c r="L82" i="1" s="1"/>
  <c r="J82" i="1"/>
  <c r="J81" i="1"/>
  <c r="K81" i="1" s="1"/>
  <c r="J80" i="1"/>
  <c r="J79" i="1"/>
  <c r="K79" i="1" s="1"/>
  <c r="L79" i="1" s="1"/>
  <c r="K78" i="1"/>
  <c r="L78" i="1" s="1"/>
  <c r="J78" i="1"/>
  <c r="J77" i="1"/>
  <c r="J76" i="1"/>
  <c r="L75" i="1"/>
  <c r="K75" i="1"/>
  <c r="J75" i="1"/>
  <c r="K74" i="1"/>
  <c r="L74" i="1" s="1"/>
  <c r="J74" i="1"/>
  <c r="J73" i="1"/>
  <c r="K73" i="1" s="1"/>
  <c r="J72" i="1"/>
  <c r="J71" i="1"/>
  <c r="K71" i="1" s="1"/>
  <c r="L71" i="1" s="1"/>
  <c r="K70" i="1"/>
  <c r="L70" i="1" s="1"/>
  <c r="J70" i="1"/>
  <c r="J69" i="1"/>
  <c r="J68" i="1"/>
  <c r="L67" i="1"/>
  <c r="K67" i="1"/>
  <c r="J67" i="1"/>
  <c r="K66" i="1"/>
  <c r="L66" i="1" s="1"/>
  <c r="J66" i="1"/>
  <c r="J65" i="1"/>
  <c r="J64" i="1"/>
  <c r="K64" i="1" s="1"/>
  <c r="L64" i="1" s="1"/>
  <c r="J63" i="1"/>
  <c r="K63" i="1" s="1"/>
  <c r="L63" i="1" s="1"/>
  <c r="K62" i="1"/>
  <c r="L62" i="1" s="1"/>
  <c r="J62" i="1"/>
  <c r="J61" i="1"/>
  <c r="J60" i="1"/>
  <c r="L59" i="1"/>
  <c r="K59" i="1"/>
  <c r="J59" i="1"/>
  <c r="K58" i="1"/>
  <c r="L58" i="1" s="1"/>
  <c r="J58" i="1"/>
  <c r="J57" i="1"/>
  <c r="K57" i="1" s="1"/>
  <c r="J56" i="1"/>
  <c r="K56" i="1" s="1"/>
  <c r="L56" i="1" s="1"/>
  <c r="J55" i="1"/>
  <c r="K55" i="1" s="1"/>
  <c r="L55" i="1" s="1"/>
  <c r="K54" i="1"/>
  <c r="L54" i="1" s="1"/>
  <c r="J54" i="1"/>
  <c r="J53" i="1"/>
  <c r="J52" i="1"/>
  <c r="L51" i="1"/>
  <c r="K51" i="1"/>
  <c r="J51" i="1"/>
  <c r="K50" i="1"/>
  <c r="L50" i="1" s="1"/>
  <c r="J50" i="1"/>
  <c r="J49" i="1"/>
  <c r="K49" i="1" s="1"/>
  <c r="J48" i="1"/>
  <c r="K48" i="1" s="1"/>
  <c r="L48" i="1" s="1"/>
  <c r="J47" i="1"/>
  <c r="K47" i="1" s="1"/>
  <c r="L47" i="1" s="1"/>
  <c r="K46" i="1"/>
  <c r="L46" i="1" s="1"/>
  <c r="J46" i="1"/>
  <c r="J45" i="1"/>
  <c r="J44" i="1"/>
  <c r="L43" i="1"/>
  <c r="K43" i="1"/>
  <c r="J43" i="1"/>
  <c r="K42" i="1"/>
  <c r="L42" i="1" s="1"/>
  <c r="J42" i="1"/>
  <c r="J41" i="1"/>
  <c r="K41" i="1" s="1"/>
  <c r="J40" i="1"/>
  <c r="K40" i="1" s="1"/>
  <c r="L40" i="1" s="1"/>
  <c r="J39" i="1"/>
  <c r="K39" i="1" s="1"/>
  <c r="L39" i="1" s="1"/>
  <c r="K38" i="1"/>
  <c r="L38" i="1" s="1"/>
  <c r="J38" i="1"/>
  <c r="J37" i="1"/>
  <c r="J36" i="1"/>
  <c r="L35" i="1"/>
  <c r="K35" i="1"/>
  <c r="J35" i="1"/>
  <c r="K34" i="1"/>
  <c r="L34" i="1" s="1"/>
  <c r="J34" i="1"/>
  <c r="J33" i="1"/>
  <c r="J32" i="1"/>
  <c r="K32" i="1" s="1"/>
  <c r="L32" i="1" s="1"/>
  <c r="J31" i="1"/>
  <c r="K31" i="1" s="1"/>
  <c r="L31" i="1" s="1"/>
  <c r="K30" i="1"/>
  <c r="L30" i="1" s="1"/>
  <c r="J30" i="1"/>
  <c r="J29" i="1"/>
  <c r="J28" i="1"/>
  <c r="L27" i="1"/>
  <c r="K27" i="1"/>
  <c r="J27" i="1"/>
  <c r="K26" i="1"/>
  <c r="L26" i="1" s="1"/>
  <c r="J26" i="1"/>
  <c r="J25" i="1"/>
  <c r="K25" i="1" s="1"/>
  <c r="J24" i="1"/>
  <c r="K24" i="1" s="1"/>
  <c r="L24" i="1" s="1"/>
  <c r="J23" i="1"/>
  <c r="K23" i="1" s="1"/>
  <c r="L23" i="1" s="1"/>
  <c r="K22" i="1"/>
  <c r="L22" i="1" s="1"/>
  <c r="J22" i="1"/>
  <c r="J21" i="1"/>
  <c r="J20" i="1"/>
  <c r="L19" i="1"/>
  <c r="K19" i="1"/>
  <c r="J19" i="1"/>
  <c r="K18" i="1"/>
  <c r="L18" i="1" s="1"/>
  <c r="J18" i="1"/>
  <c r="J17" i="1"/>
  <c r="J16" i="1"/>
  <c r="K16" i="1" s="1"/>
  <c r="L16" i="1" s="1"/>
  <c r="J15" i="1"/>
  <c r="K15" i="1" s="1"/>
  <c r="L15" i="1" s="1"/>
  <c r="K14" i="1"/>
  <c r="L14" i="1" s="1"/>
  <c r="J14" i="1"/>
  <c r="J13" i="1"/>
  <c r="J12" i="1"/>
  <c r="L11" i="1"/>
  <c r="K11" i="1"/>
  <c r="J11" i="1"/>
  <c r="K10" i="1"/>
  <c r="L10" i="1" s="1"/>
  <c r="J10" i="1"/>
  <c r="J9" i="1"/>
  <c r="J8" i="1"/>
  <c r="K8" i="1" s="1"/>
  <c r="L8" i="1" s="1"/>
  <c r="J7" i="1"/>
  <c r="K7" i="1" s="1"/>
  <c r="L7" i="1" s="1"/>
  <c r="K6" i="1"/>
  <c r="L6" i="1" s="1"/>
  <c r="J6" i="1"/>
  <c r="J5" i="1"/>
  <c r="J4" i="1"/>
  <c r="L3" i="1"/>
  <c r="K3" i="1"/>
  <c r="J3" i="1"/>
  <c r="K2" i="1"/>
  <c r="L2" i="1" s="1"/>
  <c r="J2" i="1"/>
  <c r="L33" i="1" l="1"/>
  <c r="L65" i="1"/>
  <c r="L76" i="1"/>
  <c r="L84" i="1"/>
  <c r="L60" i="1"/>
  <c r="L9" i="1"/>
  <c r="L53" i="1"/>
  <c r="L44" i="1"/>
  <c r="L349" i="1"/>
  <c r="K349" i="1"/>
  <c r="K538" i="1"/>
  <c r="L538" i="1" s="1"/>
  <c r="K9" i="1"/>
  <c r="K33" i="1"/>
  <c r="K28" i="1"/>
  <c r="L28" i="1" s="1"/>
  <c r="K36" i="1"/>
  <c r="L36" i="1" s="1"/>
  <c r="K44" i="1"/>
  <c r="K60" i="1"/>
  <c r="K68" i="1"/>
  <c r="L68" i="1" s="1"/>
  <c r="L94" i="1"/>
  <c r="L97" i="1"/>
  <c r="L103" i="1"/>
  <c r="L113" i="1"/>
  <c r="L129" i="1"/>
  <c r="L135" i="1"/>
  <c r="L151" i="1"/>
  <c r="L167" i="1"/>
  <c r="L177" i="1"/>
  <c r="K191" i="1"/>
  <c r="L191" i="1" s="1"/>
  <c r="L202" i="1"/>
  <c r="L206" i="1"/>
  <c r="K206" i="1"/>
  <c r="K210" i="1"/>
  <c r="L210" i="1" s="1"/>
  <c r="L232" i="1"/>
  <c r="K277" i="1"/>
  <c r="L277" i="1" s="1"/>
  <c r="K309" i="1"/>
  <c r="L309" i="1" s="1"/>
  <c r="L341" i="1"/>
  <c r="K341" i="1"/>
  <c r="K373" i="1"/>
  <c r="L373" i="1" s="1"/>
  <c r="K405" i="1"/>
  <c r="L405" i="1" s="1"/>
  <c r="L455" i="1"/>
  <c r="L534" i="1"/>
  <c r="K534" i="1"/>
  <c r="L824" i="1"/>
  <c r="K834" i="1"/>
  <c r="L834" i="1" s="1"/>
  <c r="K857" i="1"/>
  <c r="L857" i="1" s="1"/>
  <c r="K317" i="1"/>
  <c r="L317" i="1" s="1"/>
  <c r="L459" i="1"/>
  <c r="K459" i="1"/>
  <c r="L518" i="1"/>
  <c r="K17" i="1"/>
  <c r="L17" i="1" s="1"/>
  <c r="K65" i="1"/>
  <c r="L282" i="1"/>
  <c r="L414" i="1"/>
  <c r="K518" i="1"/>
  <c r="K4" i="1"/>
  <c r="L4" i="1" s="1"/>
  <c r="K12" i="1"/>
  <c r="L12" i="1" s="1"/>
  <c r="K20" i="1"/>
  <c r="L20" i="1" s="1"/>
  <c r="L25" i="1"/>
  <c r="L41" i="1"/>
  <c r="L49" i="1"/>
  <c r="K52" i="1"/>
  <c r="L52" i="1" s="1"/>
  <c r="L57" i="1"/>
  <c r="L73" i="1"/>
  <c r="K76" i="1"/>
  <c r="L81" i="1"/>
  <c r="K84" i="1"/>
  <c r="L87" i="1"/>
  <c r="L119" i="1"/>
  <c r="L145" i="1"/>
  <c r="L161" i="1"/>
  <c r="L174" i="1"/>
  <c r="K94" i="1"/>
  <c r="K110" i="1"/>
  <c r="L110" i="1" s="1"/>
  <c r="K126" i="1"/>
  <c r="L126" i="1" s="1"/>
  <c r="K142" i="1"/>
  <c r="L142" i="1" s="1"/>
  <c r="K158" i="1"/>
  <c r="L158" i="1" s="1"/>
  <c r="K174" i="1"/>
  <c r="L184" i="1"/>
  <c r="L214" i="1"/>
  <c r="K214" i="1"/>
  <c r="K218" i="1"/>
  <c r="L218" i="1" s="1"/>
  <c r="K221" i="1"/>
  <c r="L221" i="1" s="1"/>
  <c r="L229" i="1"/>
  <c r="L240" i="1"/>
  <c r="L274" i="1"/>
  <c r="L306" i="1"/>
  <c r="L338" i="1"/>
  <c r="L342" i="1"/>
  <c r="L370" i="1"/>
  <c r="L402" i="1"/>
  <c r="K455" i="1"/>
  <c r="K465" i="1"/>
  <c r="L465" i="1" s="1"/>
  <c r="K475" i="1"/>
  <c r="L475" i="1" s="1"/>
  <c r="L503" i="1"/>
  <c r="K381" i="1"/>
  <c r="L381" i="1" s="1"/>
  <c r="L85" i="1"/>
  <c r="L117" i="1"/>
  <c r="L149" i="1"/>
  <c r="L165" i="1"/>
  <c r="L181" i="1"/>
  <c r="K222" i="1"/>
  <c r="L222" i="1" s="1"/>
  <c r="L237" i="1"/>
  <c r="L269" i="1"/>
  <c r="K269" i="1"/>
  <c r="L301" i="1"/>
  <c r="K301" i="1"/>
  <c r="K333" i="1"/>
  <c r="L333" i="1" s="1"/>
  <c r="L365" i="1"/>
  <c r="K365" i="1"/>
  <c r="L397" i="1"/>
  <c r="K397" i="1"/>
  <c r="L438" i="1"/>
  <c r="K438" i="1"/>
  <c r="K530" i="1"/>
  <c r="L530" i="1" s="1"/>
  <c r="K654" i="1"/>
  <c r="L654" i="1" s="1"/>
  <c r="L659" i="1"/>
  <c r="K668" i="1"/>
  <c r="L668" i="1" s="1"/>
  <c r="L141" i="1"/>
  <c r="L157" i="1"/>
  <c r="L205" i="1"/>
  <c r="K93" i="1"/>
  <c r="L93" i="1" s="1"/>
  <c r="L346" i="1"/>
  <c r="K441" i="1"/>
  <c r="L441" i="1" s="1"/>
  <c r="L585" i="1"/>
  <c r="K866" i="1"/>
  <c r="L866" i="1" s="1"/>
  <c r="K13" i="1"/>
  <c r="L13" i="1" s="1"/>
  <c r="K29" i="1"/>
  <c r="L29" i="1" s="1"/>
  <c r="K37" i="1"/>
  <c r="L37" i="1" s="1"/>
  <c r="K53" i="1"/>
  <c r="K77" i="1"/>
  <c r="L77" i="1" s="1"/>
  <c r="K127" i="1"/>
  <c r="L127" i="1" s="1"/>
  <c r="K133" i="1"/>
  <c r="L133" i="1" s="1"/>
  <c r="L230" i="1"/>
  <c r="K230" i="1"/>
  <c r="L245" i="1"/>
  <c r="L261" i="1"/>
  <c r="K261" i="1"/>
  <c r="L435" i="1"/>
  <c r="L462" i="1"/>
  <c r="K462" i="1"/>
  <c r="K526" i="1"/>
  <c r="L526" i="1" s="1"/>
  <c r="L649" i="1"/>
  <c r="L523" i="1"/>
  <c r="K523" i="1"/>
  <c r="K173" i="1"/>
  <c r="L173" i="1" s="1"/>
  <c r="L198" i="1"/>
  <c r="K198" i="1"/>
  <c r="L314" i="1"/>
  <c r="L350" i="1"/>
  <c r="L515" i="1"/>
  <c r="K5" i="1"/>
  <c r="L5" i="1" s="1"/>
  <c r="K21" i="1"/>
  <c r="L21" i="1" s="1"/>
  <c r="K45" i="1"/>
  <c r="L45" i="1" s="1"/>
  <c r="K61" i="1"/>
  <c r="L61" i="1" s="1"/>
  <c r="K69" i="1"/>
  <c r="L69" i="1" s="1"/>
  <c r="K85" i="1"/>
  <c r="K95" i="1"/>
  <c r="L95" i="1" s="1"/>
  <c r="K101" i="1"/>
  <c r="L101" i="1" s="1"/>
  <c r="K111" i="1"/>
  <c r="L111" i="1" s="1"/>
  <c r="K117" i="1"/>
  <c r="K143" i="1"/>
  <c r="L143" i="1" s="1"/>
  <c r="K149" i="1"/>
  <c r="K72" i="1"/>
  <c r="L72" i="1" s="1"/>
  <c r="K80" i="1"/>
  <c r="L80" i="1" s="1"/>
  <c r="L86" i="1"/>
  <c r="L89" i="1"/>
  <c r="L102" i="1"/>
  <c r="L105" i="1"/>
  <c r="L118" i="1"/>
  <c r="L121" i="1"/>
  <c r="L134" i="1"/>
  <c r="L137" i="1"/>
  <c r="L150" i="1"/>
  <c r="L153" i="1"/>
  <c r="L166" i="1"/>
  <c r="L169" i="1"/>
  <c r="L182" i="1"/>
  <c r="K182" i="1"/>
  <c r="L189" i="1"/>
  <c r="L200" i="1"/>
  <c r="L238" i="1"/>
  <c r="K238" i="1"/>
  <c r="K242" i="1"/>
  <c r="L242" i="1" s="1"/>
  <c r="K245" i="1"/>
  <c r="L253" i="1"/>
  <c r="K253" i="1"/>
  <c r="L258" i="1"/>
  <c r="K262" i="1"/>
  <c r="L262" i="1" s="1"/>
  <c r="K266" i="1"/>
  <c r="L266" i="1" s="1"/>
  <c r="L293" i="1"/>
  <c r="K293" i="1"/>
  <c r="K298" i="1"/>
  <c r="L298" i="1" s="1"/>
  <c r="L325" i="1"/>
  <c r="K325" i="1"/>
  <c r="K330" i="1"/>
  <c r="L330" i="1" s="1"/>
  <c r="L357" i="1"/>
  <c r="K357" i="1"/>
  <c r="K362" i="1"/>
  <c r="L362" i="1" s="1"/>
  <c r="K389" i="1"/>
  <c r="L389" i="1" s="1"/>
  <c r="K394" i="1"/>
  <c r="L394" i="1" s="1"/>
  <c r="K421" i="1"/>
  <c r="L421" i="1" s="1"/>
  <c r="L426" i="1"/>
  <c r="K435" i="1"/>
  <c r="L444" i="1"/>
  <c r="K444" i="1"/>
  <c r="L481" i="1"/>
  <c r="K481" i="1"/>
  <c r="L547" i="1"/>
  <c r="K622" i="1"/>
  <c r="L622" i="1" s="1"/>
  <c r="L627" i="1"/>
  <c r="L109" i="1"/>
  <c r="L190" i="1"/>
  <c r="K190" i="1"/>
  <c r="K285" i="1"/>
  <c r="L285" i="1" s="1"/>
  <c r="L413" i="1"/>
  <c r="K413" i="1"/>
  <c r="L478" i="1"/>
  <c r="K478" i="1"/>
  <c r="L590" i="1"/>
  <c r="K590" i="1"/>
  <c r="K125" i="1"/>
  <c r="L125" i="1" s="1"/>
  <c r="L213" i="1"/>
  <c r="L224" i="1"/>
  <c r="L318" i="1"/>
  <c r="L378" i="1"/>
  <c r="L410" i="1"/>
  <c r="L539" i="1"/>
  <c r="K539" i="1"/>
  <c r="K595" i="1"/>
  <c r="L595" i="1" s="1"/>
  <c r="L197" i="1"/>
  <c r="K246" i="1"/>
  <c r="L246" i="1" s="1"/>
  <c r="K254" i="1"/>
  <c r="L254" i="1" s="1"/>
  <c r="L290" i="1"/>
  <c r="L322" i="1"/>
  <c r="L326" i="1"/>
  <c r="L354" i="1"/>
  <c r="L358" i="1"/>
  <c r="L386" i="1"/>
  <c r="L390" i="1"/>
  <c r="L418" i="1"/>
  <c r="L422" i="1"/>
  <c r="L427" i="1"/>
  <c r="L432" i="1"/>
  <c r="L472" i="1"/>
  <c r="K522" i="1"/>
  <c r="L522" i="1" s="1"/>
  <c r="L542" i="1"/>
  <c r="K542" i="1"/>
  <c r="K582" i="1"/>
  <c r="L582" i="1" s="1"/>
  <c r="K614" i="1"/>
  <c r="L614" i="1" s="1"/>
  <c r="L619" i="1"/>
  <c r="K646" i="1"/>
  <c r="L646" i="1" s="1"/>
  <c r="L802" i="1"/>
  <c r="K802" i="1"/>
  <c r="L825" i="1"/>
  <c r="K825" i="1"/>
  <c r="K408" i="1"/>
  <c r="L408" i="1" s="1"/>
  <c r="K416" i="1"/>
  <c r="L416" i="1" s="1"/>
  <c r="K424" i="1"/>
  <c r="L424" i="1" s="1"/>
  <c r="K427" i="1"/>
  <c r="K447" i="1"/>
  <c r="L447" i="1" s="1"/>
  <c r="L450" i="1"/>
  <c r="K456" i="1"/>
  <c r="L456" i="1" s="1"/>
  <c r="K472" i="1"/>
  <c r="L482" i="1"/>
  <c r="K482" i="1"/>
  <c r="K489" i="1"/>
  <c r="L489" i="1" s="1"/>
  <c r="L527" i="1"/>
  <c r="K531" i="1"/>
  <c r="L531" i="1" s="1"/>
  <c r="K587" i="1"/>
  <c r="L587" i="1" s="1"/>
  <c r="K619" i="1"/>
  <c r="K651" i="1"/>
  <c r="L651" i="1" s="1"/>
  <c r="K665" i="1"/>
  <c r="L665" i="1" s="1"/>
  <c r="L701" i="1"/>
  <c r="L770" i="1"/>
  <c r="K770" i="1"/>
  <c r="K793" i="1"/>
  <c r="L793" i="1" s="1"/>
  <c r="L921" i="1"/>
  <c r="K921" i="1"/>
  <c r="L985" i="1"/>
  <c r="K985" i="1"/>
  <c r="L439" i="1"/>
  <c r="K490" i="1"/>
  <c r="L490" i="1" s="1"/>
  <c r="L497" i="1"/>
  <c r="K497" i="1"/>
  <c r="K570" i="1"/>
  <c r="L570" i="1" s="1"/>
  <c r="L574" i="1"/>
  <c r="K574" i="1"/>
  <c r="L579" i="1"/>
  <c r="L601" i="1"/>
  <c r="K606" i="1"/>
  <c r="L606" i="1" s="1"/>
  <c r="L611" i="1"/>
  <c r="L633" i="1"/>
  <c r="L638" i="1"/>
  <c r="K638" i="1"/>
  <c r="L643" i="1"/>
  <c r="L761" i="1"/>
  <c r="K761" i="1"/>
  <c r="L911" i="1"/>
  <c r="K922" i="1"/>
  <c r="L922" i="1" s="1"/>
  <c r="L975" i="1"/>
  <c r="K986" i="1"/>
  <c r="L986" i="1" s="1"/>
  <c r="K270" i="1"/>
  <c r="L270" i="1" s="1"/>
  <c r="K278" i="1"/>
  <c r="L278" i="1" s="1"/>
  <c r="K286" i="1"/>
  <c r="L286" i="1" s="1"/>
  <c r="K294" i="1"/>
  <c r="L294" i="1" s="1"/>
  <c r="K302" i="1"/>
  <c r="L302" i="1" s="1"/>
  <c r="K310" i="1"/>
  <c r="L310" i="1" s="1"/>
  <c r="K318" i="1"/>
  <c r="K326" i="1"/>
  <c r="K334" i="1"/>
  <c r="L334" i="1" s="1"/>
  <c r="K342" i="1"/>
  <c r="K350" i="1"/>
  <c r="K358" i="1"/>
  <c r="K366" i="1"/>
  <c r="L366" i="1" s="1"/>
  <c r="K374" i="1"/>
  <c r="L374" i="1" s="1"/>
  <c r="K382" i="1"/>
  <c r="L382" i="1" s="1"/>
  <c r="K390" i="1"/>
  <c r="K398" i="1"/>
  <c r="L398" i="1" s="1"/>
  <c r="K406" i="1"/>
  <c r="L406" i="1" s="1"/>
  <c r="K414" i="1"/>
  <c r="K422" i="1"/>
  <c r="K439" i="1"/>
  <c r="L442" i="1"/>
  <c r="K448" i="1"/>
  <c r="L448" i="1" s="1"/>
  <c r="K451" i="1"/>
  <c r="L451" i="1" s="1"/>
  <c r="L457" i="1"/>
  <c r="L460" i="1"/>
  <c r="L473" i="1"/>
  <c r="L476" i="1"/>
  <c r="K483" i="1"/>
  <c r="L483" i="1" s="1"/>
  <c r="K486" i="1"/>
  <c r="L486" i="1" s="1"/>
  <c r="K498" i="1"/>
  <c r="L498" i="1" s="1"/>
  <c r="K505" i="1"/>
  <c r="L505" i="1" s="1"/>
  <c r="L562" i="1"/>
  <c r="K562" i="1"/>
  <c r="K566" i="1"/>
  <c r="L566" i="1" s="1"/>
  <c r="L571" i="1"/>
  <c r="K698" i="1"/>
  <c r="L698" i="1"/>
  <c r="L752" i="1"/>
  <c r="K752" i="1"/>
  <c r="K762" i="1"/>
  <c r="L762" i="1"/>
  <c r="L431" i="1"/>
  <c r="K457" i="1"/>
  <c r="K473" i="1"/>
  <c r="L487" i="1"/>
  <c r="K494" i="1"/>
  <c r="L494" i="1" s="1"/>
  <c r="L502" i="1"/>
  <c r="K506" i="1"/>
  <c r="L506" i="1" s="1"/>
  <c r="K513" i="1"/>
  <c r="L513" i="1" s="1"/>
  <c r="L554" i="1"/>
  <c r="K554" i="1"/>
  <c r="K558" i="1"/>
  <c r="L558" i="1" s="1"/>
  <c r="L563" i="1"/>
  <c r="L567" i="1"/>
  <c r="K571" i="1"/>
  <c r="L598" i="1"/>
  <c r="K598" i="1"/>
  <c r="L603" i="1"/>
  <c r="L630" i="1"/>
  <c r="K630" i="1"/>
  <c r="L635" i="1"/>
  <c r="L662" i="1"/>
  <c r="K662" i="1"/>
  <c r="K753" i="1"/>
  <c r="L753" i="1" s="1"/>
  <c r="L879" i="1"/>
  <c r="L898" i="1"/>
  <c r="K898" i="1"/>
  <c r="L495" i="1"/>
  <c r="L510" i="1"/>
  <c r="K514" i="1"/>
  <c r="L514" i="1" s="1"/>
  <c r="K521" i="1"/>
  <c r="L521" i="1" s="1"/>
  <c r="L546" i="1"/>
  <c r="K546" i="1"/>
  <c r="K550" i="1"/>
  <c r="L550" i="1" s="1"/>
  <c r="L555" i="1"/>
  <c r="L559" i="1"/>
  <c r="L744" i="1"/>
  <c r="K744" i="1"/>
  <c r="K889" i="1"/>
  <c r="L889" i="1" s="1"/>
  <c r="K946" i="1"/>
  <c r="L946" i="1" s="1"/>
  <c r="K961" i="1"/>
  <c r="L961" i="1" s="1"/>
  <c r="L736" i="1"/>
  <c r="K736" i="1"/>
  <c r="K745" i="1"/>
  <c r="L745" i="1" s="1"/>
  <c r="L794" i="1"/>
  <c r="K794" i="1"/>
  <c r="L816" i="1"/>
  <c r="L826" i="1"/>
  <c r="K826" i="1"/>
  <c r="L858" i="1"/>
  <c r="K858" i="1"/>
  <c r="L880" i="1"/>
  <c r="K890" i="1"/>
  <c r="L890" i="1" s="1"/>
  <c r="K937" i="1"/>
  <c r="L937" i="1" s="1"/>
  <c r="L962" i="1"/>
  <c r="K962" i="1"/>
  <c r="L991" i="1"/>
  <c r="K529" i="1"/>
  <c r="L529" i="1" s="1"/>
  <c r="K537" i="1"/>
  <c r="L537" i="1" s="1"/>
  <c r="K545" i="1"/>
  <c r="L545" i="1" s="1"/>
  <c r="K553" i="1"/>
  <c r="L553" i="1" s="1"/>
  <c r="K561" i="1"/>
  <c r="L561" i="1" s="1"/>
  <c r="K569" i="1"/>
  <c r="L569" i="1" s="1"/>
  <c r="K577" i="1"/>
  <c r="L577" i="1" s="1"/>
  <c r="K585" i="1"/>
  <c r="K593" i="1"/>
  <c r="L593" i="1" s="1"/>
  <c r="K601" i="1"/>
  <c r="K609" i="1"/>
  <c r="L609" i="1" s="1"/>
  <c r="K617" i="1"/>
  <c r="L617" i="1" s="1"/>
  <c r="K625" i="1"/>
  <c r="L625" i="1" s="1"/>
  <c r="K633" i="1"/>
  <c r="K641" i="1"/>
  <c r="L641" i="1" s="1"/>
  <c r="K649" i="1"/>
  <c r="K657" i="1"/>
  <c r="L657" i="1" s="1"/>
  <c r="L672" i="1"/>
  <c r="K728" i="1"/>
  <c r="L728" i="1" s="1"/>
  <c r="K737" i="1"/>
  <c r="L737" i="1" s="1"/>
  <c r="L754" i="1"/>
  <c r="L785" i="1"/>
  <c r="K785" i="1"/>
  <c r="K817" i="1"/>
  <c r="L817" i="1" s="1"/>
  <c r="L849" i="1"/>
  <c r="K849" i="1"/>
  <c r="L881" i="1"/>
  <c r="K881" i="1"/>
  <c r="L913" i="1"/>
  <c r="K913" i="1"/>
  <c r="K938" i="1"/>
  <c r="L938" i="1" s="1"/>
  <c r="L952" i="1"/>
  <c r="L967" i="1"/>
  <c r="L977" i="1"/>
  <c r="K977" i="1"/>
  <c r="K669" i="1"/>
  <c r="L669" i="1" s="1"/>
  <c r="L673" i="1"/>
  <c r="L676" i="1"/>
  <c r="L680" i="1"/>
  <c r="K680" i="1"/>
  <c r="L720" i="1"/>
  <c r="K720" i="1"/>
  <c r="L729" i="1"/>
  <c r="K729" i="1"/>
  <c r="L733" i="1"/>
  <c r="L746" i="1"/>
  <c r="L776" i="1"/>
  <c r="K786" i="1"/>
  <c r="L786" i="1" s="1"/>
  <c r="L818" i="1"/>
  <c r="K818" i="1"/>
  <c r="K850" i="1"/>
  <c r="L850" i="1" s="1"/>
  <c r="L863" i="1"/>
  <c r="K882" i="1"/>
  <c r="L882" i="1" s="1"/>
  <c r="L904" i="1"/>
  <c r="K914" i="1"/>
  <c r="L914" i="1" s="1"/>
  <c r="L928" i="1"/>
  <c r="K953" i="1"/>
  <c r="L953" i="1" s="1"/>
  <c r="K978" i="1"/>
  <c r="L978" i="1" s="1"/>
  <c r="L688" i="1"/>
  <c r="K688" i="1"/>
  <c r="L712" i="1"/>
  <c r="K712" i="1"/>
  <c r="L721" i="1"/>
  <c r="K721" i="1"/>
  <c r="K777" i="1"/>
  <c r="L777" i="1" s="1"/>
  <c r="L809" i="1"/>
  <c r="K809" i="1"/>
  <c r="L841" i="1"/>
  <c r="K841" i="1"/>
  <c r="L873" i="1"/>
  <c r="K873" i="1"/>
  <c r="K905" i="1"/>
  <c r="L905" i="1" s="1"/>
  <c r="L929" i="1"/>
  <c r="K929" i="1"/>
  <c r="L954" i="1"/>
  <c r="K954" i="1"/>
  <c r="L968" i="1"/>
  <c r="L993" i="1"/>
  <c r="K993" i="1"/>
  <c r="L999" i="1"/>
  <c r="K578" i="1"/>
  <c r="L578" i="1" s="1"/>
  <c r="K586" i="1"/>
  <c r="L586" i="1" s="1"/>
  <c r="K594" i="1"/>
  <c r="L594" i="1" s="1"/>
  <c r="K602" i="1"/>
  <c r="L602" i="1" s="1"/>
  <c r="K610" i="1"/>
  <c r="L610" i="1" s="1"/>
  <c r="K618" i="1"/>
  <c r="L618" i="1" s="1"/>
  <c r="K626" i="1"/>
  <c r="L626" i="1" s="1"/>
  <c r="K634" i="1"/>
  <c r="L634" i="1" s="1"/>
  <c r="K642" i="1"/>
  <c r="L642" i="1" s="1"/>
  <c r="K650" i="1"/>
  <c r="L650" i="1" s="1"/>
  <c r="K658" i="1"/>
  <c r="L658" i="1" s="1"/>
  <c r="K670" i="1"/>
  <c r="L670" i="1" s="1"/>
  <c r="K681" i="1"/>
  <c r="L681" i="1" s="1"/>
  <c r="L685" i="1"/>
  <c r="L689" i="1"/>
  <c r="L692" i="1"/>
  <c r="L696" i="1"/>
  <c r="K696" i="1"/>
  <c r="L704" i="1"/>
  <c r="K704" i="1"/>
  <c r="L713" i="1"/>
  <c r="K713" i="1"/>
  <c r="L717" i="1"/>
  <c r="L730" i="1"/>
  <c r="L768" i="1"/>
  <c r="K778" i="1"/>
  <c r="L778" i="1" s="1"/>
  <c r="L810" i="1"/>
  <c r="K810" i="1"/>
  <c r="K842" i="1"/>
  <c r="L842" i="1" s="1"/>
  <c r="L855" i="1"/>
  <c r="L864" i="1"/>
  <c r="K874" i="1"/>
  <c r="L874" i="1" s="1"/>
  <c r="L887" i="1"/>
  <c r="K906" i="1"/>
  <c r="L906" i="1" s="1"/>
  <c r="K930" i="1"/>
  <c r="L930" i="1" s="1"/>
  <c r="L959" i="1"/>
  <c r="L969" i="1"/>
  <c r="K969" i="1"/>
  <c r="K994" i="1"/>
  <c r="L994" i="1" s="1"/>
  <c r="L693" i="1"/>
  <c r="L697" i="1"/>
  <c r="L705" i="1"/>
  <c r="K705" i="1"/>
  <c r="L709" i="1"/>
  <c r="K760" i="1"/>
  <c r="L760" i="1" s="1"/>
  <c r="K769" i="1"/>
  <c r="L769" i="1" s="1"/>
  <c r="K801" i="1"/>
  <c r="L801" i="1" s="1"/>
  <c r="L833" i="1"/>
  <c r="K833" i="1"/>
  <c r="K865" i="1"/>
  <c r="L865" i="1" s="1"/>
  <c r="K897" i="1"/>
  <c r="L897" i="1" s="1"/>
  <c r="L935" i="1"/>
  <c r="L945" i="1"/>
  <c r="K945" i="1"/>
  <c r="K970" i="1"/>
  <c r="L970" i="1" s="1"/>
  <c r="L1001" i="1"/>
  <c r="K999" i="1"/>
  <c r="K997" i="1"/>
  <c r="L997" i="1" s="1"/>
  <c r="K768" i="1"/>
  <c r="K776" i="1"/>
  <c r="K784" i="1"/>
  <c r="L784" i="1" s="1"/>
  <c r="K792" i="1"/>
  <c r="L792" i="1" s="1"/>
  <c r="K800" i="1"/>
  <c r="L800" i="1" s="1"/>
  <c r="K808" i="1"/>
  <c r="L808" i="1" s="1"/>
  <c r="K816" i="1"/>
  <c r="K824" i="1"/>
  <c r="K832" i="1"/>
  <c r="L832" i="1" s="1"/>
  <c r="K840" i="1"/>
  <c r="L840" i="1" s="1"/>
  <c r="K848" i="1"/>
  <c r="L848" i="1" s="1"/>
  <c r="K856" i="1"/>
  <c r="L856" i="1" s="1"/>
  <c r="K864" i="1"/>
  <c r="K872" i="1"/>
  <c r="L872" i="1" s="1"/>
  <c r="K880" i="1"/>
  <c r="K888" i="1"/>
  <c r="L888" i="1" s="1"/>
  <c r="K896" i="1"/>
  <c r="L896" i="1" s="1"/>
  <c r="K904" i="1"/>
  <c r="K912" i="1"/>
  <c r="L912" i="1" s="1"/>
  <c r="K920" i="1"/>
  <c r="L920" i="1" s="1"/>
  <c r="K928" i="1"/>
  <c r="K936" i="1"/>
  <c r="L936" i="1" s="1"/>
  <c r="K944" i="1"/>
  <c r="L944" i="1" s="1"/>
  <c r="K952" i="1"/>
  <c r="K960" i="1"/>
  <c r="L960" i="1" s="1"/>
  <c r="K968" i="1"/>
  <c r="K976" i="1"/>
  <c r="L976" i="1" s="1"/>
  <c r="K984" i="1"/>
  <c r="L984" i="1" s="1"/>
  <c r="K992" i="1"/>
  <c r="L992" i="1" s="1"/>
  <c r="K1000" i="1"/>
  <c r="L1000" i="1" s="1"/>
  <c r="K998" i="1"/>
  <c r="L998" i="1" s="1"/>
  <c r="K1001" i="1"/>
</calcChain>
</file>

<file path=xl/sharedStrings.xml><?xml version="1.0" encoding="utf-8"?>
<sst xmlns="http://schemas.openxmlformats.org/spreadsheetml/2006/main" count="6085" uniqueCount="1074">
  <si>
    <t>Order ID</t>
  </si>
  <si>
    <t>Date</t>
  </si>
  <si>
    <t>Month</t>
  </si>
  <si>
    <t>Salesperson</t>
  </si>
  <si>
    <t>Region</t>
  </si>
  <si>
    <t>Category</t>
  </si>
  <si>
    <t>Product</t>
  </si>
  <si>
    <t>Units Sold</t>
  </si>
  <si>
    <t>Unit Price</t>
  </si>
  <si>
    <t>Sales</t>
  </si>
  <si>
    <t>Cost</t>
  </si>
  <si>
    <t>Profit</t>
  </si>
  <si>
    <t>ORD00001</t>
  </si>
  <si>
    <t>Sep</t>
  </si>
  <si>
    <t>Faith</t>
  </si>
  <si>
    <t>Nairobi</t>
  </si>
  <si>
    <t>Office Supplies</t>
  </si>
  <si>
    <t>Files</t>
  </si>
  <si>
    <t>ORD00002</t>
  </si>
  <si>
    <t>Grace</t>
  </si>
  <si>
    <t>Kisumu</t>
  </si>
  <si>
    <t>Furniture</t>
  </si>
  <si>
    <t>Bookshelf</t>
  </si>
  <si>
    <t>ORD00003</t>
  </si>
  <si>
    <t>Dec</t>
  </si>
  <si>
    <t>Brian</t>
  </si>
  <si>
    <t>Electronics</t>
  </si>
  <si>
    <t>Tablet</t>
  </si>
  <si>
    <t>ORD00004</t>
  </si>
  <si>
    <t>Jan</t>
  </si>
  <si>
    <t>Eldoret</t>
  </si>
  <si>
    <t>ORD00005</t>
  </si>
  <si>
    <t>Nov</t>
  </si>
  <si>
    <t>Daniel</t>
  </si>
  <si>
    <t>ORD00006</t>
  </si>
  <si>
    <t>Mombasa</t>
  </si>
  <si>
    <t>Pens</t>
  </si>
  <si>
    <t>ORD00007</t>
  </si>
  <si>
    <t>Oct</t>
  </si>
  <si>
    <t>Mary</t>
  </si>
  <si>
    <t>Chair</t>
  </si>
  <si>
    <t>ORD00008</t>
  </si>
  <si>
    <t>ORD00009</t>
  </si>
  <si>
    <t>Jun</t>
  </si>
  <si>
    <t>Printer</t>
  </si>
  <si>
    <t>ORD00010</t>
  </si>
  <si>
    <t>Nakuru</t>
  </si>
  <si>
    <t>ORD00011</t>
  </si>
  <si>
    <t>May</t>
  </si>
  <si>
    <t>ORD00012</t>
  </si>
  <si>
    <t>Feb</t>
  </si>
  <si>
    <t>James</t>
  </si>
  <si>
    <t>Phone</t>
  </si>
  <si>
    <t>ORD00013</t>
  </si>
  <si>
    <t>Cabinet</t>
  </si>
  <si>
    <t>ORD00014</t>
  </si>
  <si>
    <t>ORD00015</t>
  </si>
  <si>
    <t>Aug</t>
  </si>
  <si>
    <t>ORD00016</t>
  </si>
  <si>
    <t>Apr</t>
  </si>
  <si>
    <t>Notebook</t>
  </si>
  <si>
    <t>ORD00017</t>
  </si>
  <si>
    <t>ORD00018</t>
  </si>
  <si>
    <t>Mar</t>
  </si>
  <si>
    <t>Mercy</t>
  </si>
  <si>
    <t>Office Table</t>
  </si>
  <si>
    <t>ORD00019</t>
  </si>
  <si>
    <t>ORD00020</t>
  </si>
  <si>
    <t>ORD00021</t>
  </si>
  <si>
    <t>Keyboard</t>
  </si>
  <si>
    <t>ORD00022</t>
  </si>
  <si>
    <t>ORD00023</t>
  </si>
  <si>
    <t>John</t>
  </si>
  <si>
    <t>ORD00024</t>
  </si>
  <si>
    <t>Desk</t>
  </si>
  <si>
    <t>ORD00025</t>
  </si>
  <si>
    <t>Jul</t>
  </si>
  <si>
    <t>ORD00026</t>
  </si>
  <si>
    <t>Paper</t>
  </si>
  <si>
    <t>ORD00027</t>
  </si>
  <si>
    <t>ORD00028</t>
  </si>
  <si>
    <t>ORD00029</t>
  </si>
  <si>
    <t>ORD00030</t>
  </si>
  <si>
    <t>Alice</t>
  </si>
  <si>
    <t>ORD00031</t>
  </si>
  <si>
    <t>ORD00032</t>
  </si>
  <si>
    <t>Kevin</t>
  </si>
  <si>
    <t>ORD00033</t>
  </si>
  <si>
    <t>ORD00034</t>
  </si>
  <si>
    <t>ORD00035</t>
  </si>
  <si>
    <t>ORD00036</t>
  </si>
  <si>
    <t>ORD00037</t>
  </si>
  <si>
    <t>Stapler</t>
  </si>
  <si>
    <t>ORD00038</t>
  </si>
  <si>
    <t>Monitor</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</si>
  <si>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</si>
  <si>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</si>
  <si>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</si>
  <si>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</si>
  <si>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</si>
  <si>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</si>
  <si>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</si>
  <si>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</si>
  <si>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</si>
  <si>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</si>
  <si>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</si>
  <si>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</si>
  <si>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</si>
  <si>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</si>
  <si>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</si>
  <si>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</si>
  <si>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Laptop</t>
  </si>
  <si>
    <t>ORD00055</t>
  </si>
  <si>
    <t>ORD00056</t>
  </si>
  <si>
    <t>ORD00057</t>
  </si>
  <si>
    <t>ORD00058</t>
  </si>
  <si>
    <t>ORD00059</t>
  </si>
  <si>
    <t>ORD00060</t>
  </si>
  <si>
    <t>ORD00061</t>
  </si>
  <si>
    <t>ORD00062</t>
  </si>
  <si>
    <t>ORD00063</t>
  </si>
  <si>
    <t>ORD00064</t>
  </si>
  <si>
    <t>ORD00065</t>
  </si>
  <si>
    <t>ORD00066</t>
  </si>
  <si>
    <t>ORD00067</t>
  </si>
  <si>
    <t>ORD00068</t>
  </si>
  <si>
    <t>ORD00069</t>
  </si>
  <si>
    <t>Mouse</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</si>
  <si>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</si>
  <si>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</si>
  <si>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</si>
  <si>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</si>
  <si>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</si>
  <si>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</si>
  <si>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</si>
  <si>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</si>
  <si>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</si>
  <si>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</si>
  <si>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</si>
  <si>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</si>
  <si>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</si>
  <si>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</si>
  <si>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</si>
  <si>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</si>
  <si>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</si>
  <si>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</si>
  <si>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</si>
  <si>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</si>
  <si>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</si>
  <si>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</si>
  <si>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</si>
  <si>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</si>
  <si>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</si>
  <si>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</si>
  <si>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</si>
  <si>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</si>
  <si>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</si>
  <si>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</si>
  <si>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</si>
  <si>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</si>
  <si>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</si>
  <si>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</si>
  <si>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</si>
  <si>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</si>
  <si>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</si>
  <si>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</si>
  <si>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</si>
  <si>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</si>
  <si>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</si>
  <si>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</si>
  <si>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</si>
  <si>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</si>
  <si>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</si>
  <si>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</si>
  <si>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</si>
  <si>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</si>
  <si>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</si>
  <si>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</si>
  <si>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</si>
  <si>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</si>
  <si>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</si>
  <si>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</si>
  <si>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</si>
  <si>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</si>
  <si>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</si>
  <si>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</si>
  <si>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</si>
  <si>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</si>
  <si>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</si>
  <si>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</si>
  <si>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</si>
  <si>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</si>
  <si>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</si>
  <si>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</si>
  <si>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</si>
  <si>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</si>
  <si>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</si>
  <si>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</si>
  <si>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</si>
  <si>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</si>
  <si>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</si>
  <si>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</si>
  <si>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</si>
  <si>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</si>
  <si>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</si>
  <si>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</si>
  <si>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</si>
  <si>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</si>
  <si>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</si>
  <si>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</si>
  <si>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</si>
  <si>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</si>
  <si>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</si>
  <si>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</si>
  <si>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</si>
  <si>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</si>
  <si>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</si>
  <si>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</si>
  <si>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</si>
  <si>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</si>
  <si>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</si>
  <si>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</si>
  <si>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</si>
  <si>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</si>
  <si>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</si>
  <si>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</si>
  <si>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</si>
  <si>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</si>
  <si>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</si>
  <si>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</si>
  <si>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</si>
  <si>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</si>
  <si>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</si>
  <si>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</si>
  <si>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</si>
  <si>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</si>
  <si>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</si>
  <si>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</si>
  <si>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</si>
  <si>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</si>
  <si>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</si>
  <si>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</si>
  <si>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</si>
  <si>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</si>
  <si>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</si>
  <si>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</si>
  <si>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</si>
  <si>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</si>
  <si>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</si>
  <si>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</si>
  <si>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</si>
  <si>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</si>
  <si>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</si>
  <si>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</si>
  <si>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</si>
  <si>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</si>
  <si>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</si>
  <si>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</si>
  <si>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</si>
  <si>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</si>
  <si>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</si>
  <si>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</si>
  <si>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</si>
  <si>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</si>
  <si>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</si>
  <si>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</si>
  <si>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</si>
  <si>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</si>
  <si>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</si>
  <si>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</si>
  <si>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</si>
  <si>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</si>
  <si>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</si>
  <si>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</si>
  <si>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</si>
  <si>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</si>
  <si>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</si>
  <si>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</si>
  <si>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</si>
  <si>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</si>
  <si>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</si>
  <si>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</si>
  <si>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</si>
  <si>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</si>
  <si>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</si>
  <si>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</si>
  <si>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</si>
  <si>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</si>
  <si>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</si>
  <si>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</si>
  <si>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</si>
  <si>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</si>
  <si>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</si>
  <si>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</si>
  <si>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</si>
  <si>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</si>
  <si>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</si>
  <si>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</si>
  <si>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</si>
  <si>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</si>
  <si>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</si>
  <si>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</si>
  <si>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</si>
  <si>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</si>
  <si>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</si>
  <si>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</si>
  <si>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</si>
  <si>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</si>
  <si>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</si>
  <si>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</si>
  <si>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</si>
  <si>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</si>
  <si>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</si>
  <si>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</si>
  <si>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</si>
  <si>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</si>
  <si>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</si>
  <si>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</si>
  <si>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</si>
  <si>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</si>
  <si>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</si>
  <si>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</si>
  <si>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</si>
  <si>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</si>
  <si>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</si>
  <si>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</si>
  <si>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</si>
  <si>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</si>
  <si>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</si>
  <si>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</si>
  <si>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</si>
  <si>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</si>
  <si>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</si>
  <si>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</si>
  <si>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</si>
  <si>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</si>
  <si>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</si>
  <si>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</si>
  <si>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</si>
  <si>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</si>
  <si>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</si>
  <si>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</si>
  <si>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</si>
  <si>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</si>
  <si>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</si>
  <si>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</si>
  <si>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</si>
  <si>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</si>
  <si>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</si>
  <si>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</si>
  <si>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</si>
  <si>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</si>
  <si>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</si>
  <si>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</si>
  <si>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</si>
  <si>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</si>
  <si>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</si>
  <si>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</si>
  <si>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</si>
  <si>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</si>
  <si>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</si>
  <si>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</si>
  <si>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</si>
  <si>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</si>
  <si>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</si>
  <si>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</si>
  <si>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</si>
  <si>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</si>
  <si>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</si>
  <si>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</si>
  <si>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</si>
  <si>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</si>
  <si>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</si>
  <si>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</si>
  <si>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</si>
  <si>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</si>
  <si>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</si>
  <si>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</si>
  <si>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</si>
  <si>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</si>
  <si>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</si>
  <si>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</si>
  <si>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</si>
  <si>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</si>
  <si>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</si>
  <si>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</si>
  <si>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</si>
  <si>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</si>
  <si>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</si>
  <si>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</si>
  <si>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</si>
  <si>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</si>
  <si>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</si>
  <si>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</si>
  <si>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</si>
  <si>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</si>
  <si>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</si>
  <si>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</si>
  <si>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</si>
  <si>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</si>
  <si>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</si>
  <si>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</si>
  <si>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</si>
  <si>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</si>
  <si>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</si>
  <si>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</si>
  <si>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</si>
  <si>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</si>
  <si>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</si>
  <si>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</si>
  <si>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</si>
  <si>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</si>
  <si>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</si>
  <si>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</si>
  <si>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</si>
  <si>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</si>
  <si>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</si>
  <si>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</si>
  <si>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</si>
  <si>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</si>
  <si>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</si>
  <si>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</si>
  <si>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</si>
  <si>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</si>
  <si>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</si>
  <si>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</si>
  <si>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</si>
  <si>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</si>
  <si>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</si>
  <si>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</si>
  <si>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</si>
  <si>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</si>
  <si>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</si>
  <si>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</si>
  <si>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</si>
  <si>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</si>
  <si>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</si>
  <si>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</si>
  <si>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</si>
  <si>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</si>
  <si>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</si>
  <si>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</si>
  <si>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</si>
  <si>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</si>
  <si>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</si>
  <si>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</si>
  <si>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</si>
  <si>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</si>
  <si>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</si>
  <si>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</si>
  <si>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</si>
  <si>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</si>
  <si>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</si>
  <si>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</si>
  <si>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</si>
  <si>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</si>
  <si>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</si>
  <si>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</si>
  <si>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</si>
  <si>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</si>
  <si>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</si>
  <si>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</si>
  <si>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</si>
  <si>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</si>
  <si>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</si>
  <si>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</si>
  <si>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</si>
  <si>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</si>
  <si>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</si>
  <si>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</si>
  <si>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</si>
  <si>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</si>
  <si>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</si>
  <si>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</si>
  <si>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</si>
  <si>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</si>
  <si>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</si>
  <si>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</si>
  <si>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</si>
  <si>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</si>
  <si>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</si>
  <si>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</si>
  <si>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</si>
  <si>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</si>
  <si>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</si>
  <si>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</si>
  <si>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</si>
  <si>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</si>
  <si>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</si>
  <si>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</si>
  <si>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</si>
  <si>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</si>
  <si>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</si>
  <si>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</si>
  <si>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</si>
  <si>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</si>
  <si>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</si>
  <si>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</si>
  <si>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</si>
  <si>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</si>
  <si>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</si>
  <si>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</si>
  <si>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</si>
  <si>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</si>
  <si>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</si>
  <si>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</si>
  <si>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</si>
  <si>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</si>
  <si>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</si>
  <si>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</si>
  <si>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</si>
  <si>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</si>
  <si>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</si>
  <si>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</si>
  <si>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</si>
  <si>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</si>
  <si>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</si>
  <si>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</si>
  <si>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</si>
  <si>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</si>
  <si>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</si>
  <si>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</si>
  <si>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</si>
  <si>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</si>
  <si>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</si>
  <si>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</si>
  <si>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</si>
  <si>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</si>
  <si>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</si>
  <si>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</si>
  <si>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</si>
  <si>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</si>
  <si>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</si>
  <si>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</si>
  <si>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</si>
  <si>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</si>
  <si>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</si>
  <si>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</si>
  <si>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</si>
  <si>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</si>
  <si>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</si>
  <si>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</si>
  <si>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</si>
  <si>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</si>
  <si>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</si>
  <si>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</si>
  <si>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</si>
  <si>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</si>
  <si>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</si>
  <si>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</si>
  <si>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</si>
  <si>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</si>
  <si>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</si>
  <si>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</si>
  <si>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</si>
  <si>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</si>
  <si>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</si>
  <si>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</si>
  <si>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</si>
  <si>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</si>
  <si>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</si>
  <si>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</si>
  <si>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</si>
  <si>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</si>
  <si>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</si>
  <si>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</si>
  <si>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</si>
  <si>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</si>
  <si>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</si>
  <si>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</si>
  <si>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</si>
  <si>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</si>
  <si>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</si>
  <si>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</si>
  <si>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</si>
  <si>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</si>
  <si>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</si>
  <si>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</si>
  <si>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</si>
  <si>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</si>
  <si>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</si>
  <si>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</si>
  <si>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</si>
  <si>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</si>
  <si>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</si>
  <si>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</si>
  <si>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</si>
  <si>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</si>
  <si>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</si>
  <si>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</si>
  <si>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</si>
  <si>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</si>
  <si>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</si>
  <si>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</si>
  <si>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</si>
  <si>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</si>
  <si>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</si>
  <si>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</si>
  <si>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</si>
  <si>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</si>
  <si>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</si>
  <si>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</si>
  <si>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</si>
  <si>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</si>
  <si>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</si>
  <si>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</si>
  <si>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</si>
  <si>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</si>
  <si>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</si>
  <si>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</si>
  <si>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</si>
  <si>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</si>
  <si>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</si>
  <si>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</si>
  <si>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</si>
  <si>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</si>
  <si>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</si>
  <si>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</si>
  <si>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</si>
  <si>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</si>
  <si>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</si>
  <si>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</si>
  <si>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</si>
  <si>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</si>
  <si>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</si>
  <si>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</si>
  <si>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</si>
  <si>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</si>
  <si>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</si>
  <si>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</si>
  <si>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</si>
  <si>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</si>
  <si>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</si>
  <si>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</si>
  <si>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</si>
  <si>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</si>
  <si>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</si>
  <si>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</si>
  <si>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</si>
  <si>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</si>
  <si>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</si>
  <si>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</si>
  <si>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</si>
  <si>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</si>
  <si>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</si>
  <si>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</si>
  <si>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</si>
  <si>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</si>
  <si>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</si>
  <si>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</si>
  <si>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</si>
  <si>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</si>
  <si>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</si>
  <si>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</si>
  <si>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</si>
  <si>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</si>
  <si>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</si>
  <si>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</si>
  <si>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</si>
  <si>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</si>
  <si>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</si>
  <si>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</si>
  <si>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</si>
  <si>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</si>
  <si>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</si>
  <si>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</si>
  <si>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</si>
  <si>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</si>
  <si>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</si>
  <si>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</si>
  <si>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</si>
  <si>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</si>
  <si>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</si>
  <si>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</si>
  <si>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</si>
  <si>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</si>
  <si>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</si>
  <si>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</si>
  <si>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</si>
  <si>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</si>
  <si>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</si>
  <si>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</si>
  <si>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</si>
  <si>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</si>
  <si>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</si>
  <si>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</si>
  <si>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</si>
  <si>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</si>
  <si>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</si>
  <si>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</si>
  <si>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</si>
  <si>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</si>
  <si>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</si>
  <si>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</si>
  <si>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</si>
  <si>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</si>
  <si>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</si>
  <si>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</si>
  <si>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</si>
  <si>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</si>
  <si>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</si>
  <si>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</si>
  <si>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</si>
  <si>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</si>
  <si>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</si>
  <si>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</si>
  <si>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</si>
  <si>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</si>
  <si>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</si>
  <si>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</si>
  <si>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</si>
  <si>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</si>
  <si>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</si>
  <si>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</si>
  <si>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</si>
  <si>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</si>
  <si>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</si>
  <si>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</si>
  <si>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</si>
  <si>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</si>
  <si>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</si>
  <si>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</si>
  <si>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</si>
  <si>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</si>
  <si>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</si>
  <si>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</si>
  <si>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</si>
  <si>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</si>
  <si>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</si>
  <si>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</si>
  <si>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</si>
  <si>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</si>
  <si>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</si>
  <si>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</si>
  <si>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</si>
  <si>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</si>
  <si>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</si>
  <si>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</si>
  <si>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</si>
  <si>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</si>
  <si>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</si>
  <si>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</si>
  <si>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</si>
  <si>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</si>
  <si>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</si>
  <si>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</si>
  <si>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</si>
  <si>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</si>
  <si>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</si>
  <si>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</si>
  <si>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</si>
  <si>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</si>
  <si>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</si>
  <si>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</si>
  <si>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</si>
  <si>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</si>
  <si>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</si>
  <si>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</si>
  <si>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</si>
  <si>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</si>
  <si>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</si>
  <si>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</si>
  <si>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</si>
  <si>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</si>
  <si>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</si>
  <si>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</si>
  <si>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</si>
  <si>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</si>
  <si>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</si>
  <si>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</si>
  <si>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</si>
  <si>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</si>
  <si>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</si>
  <si>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</si>
  <si>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</si>
  <si>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</si>
  <si>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</si>
  <si>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</si>
  <si>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</si>
  <si>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</si>
  <si>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</si>
  <si>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</si>
  <si>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</si>
  <si>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</si>
  <si>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</si>
  <si>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</si>
  <si>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</si>
  <si>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</si>
  <si>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</si>
  <si>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</si>
  <si>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</si>
  <si>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</si>
  <si>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</si>
  <si>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</si>
  <si>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</si>
  <si>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</si>
  <si>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</si>
  <si>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</si>
  <si>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</si>
  <si>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</si>
  <si>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</si>
  <si>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</si>
  <si>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</si>
  <si>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</si>
  <si>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</si>
  <si>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</si>
  <si>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</si>
  <si>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</si>
  <si>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</si>
  <si>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</si>
  <si>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</si>
  <si>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</si>
  <si>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</si>
  <si>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</si>
  <si>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</si>
  <si>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</si>
  <si>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</si>
  <si>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</si>
  <si>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</si>
  <si>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</si>
  <si>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</si>
  <si>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</si>
  <si>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</si>
  <si>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</si>
  <si>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</si>
  <si>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</si>
  <si>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</si>
  <si>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</si>
  <si>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</si>
  <si>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</si>
  <si>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</si>
  <si>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</si>
  <si>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</si>
  <si>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</si>
  <si>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</si>
  <si>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</si>
  <si>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</si>
  <si>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</si>
  <si>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</si>
  <si>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</si>
  <si>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</si>
  <si>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</si>
  <si>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</si>
  <si>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</si>
  <si>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</si>
  <si>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</si>
  <si>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</si>
  <si>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</si>
  <si>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</si>
  <si>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</si>
  <si>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</si>
  <si>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</si>
  <si>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</si>
  <si>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</si>
  <si>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</si>
  <si>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</si>
  <si>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</si>
  <si>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</si>
  <si>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</si>
  <si>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</si>
  <si>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</si>
  <si>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</si>
  <si>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</si>
  <si>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</si>
  <si>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</si>
  <si>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</si>
  <si>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</si>
  <si>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</si>
  <si>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</si>
  <si>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</si>
  <si>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</si>
  <si>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</si>
  <si>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</si>
  <si>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</si>
  <si>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</si>
  <si>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</si>
  <si>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</si>
  <si>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</si>
  <si>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</si>
  <si>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</si>
  <si>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</si>
  <si>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</si>
  <si>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</si>
  <si>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</si>
  <si>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</si>
  <si>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</si>
  <si>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</si>
  <si>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</si>
  <si>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</si>
  <si>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</si>
  <si>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</si>
  <si>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</si>
  <si>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</si>
  <si>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</si>
  <si>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</si>
  <si>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</si>
  <si>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</si>
  <si>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</si>
  <si>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</si>
  <si>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</si>
  <si>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</si>
  <si>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</si>
  <si>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</si>
  <si>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</si>
  <si>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</si>
  <si>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</si>
  <si>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</si>
  <si>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</si>
  <si>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</si>
  <si>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</si>
  <si>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</si>
  <si>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</si>
  <si>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</si>
  <si>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</si>
  <si>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</si>
  <si>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</si>
  <si>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</si>
  <si>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</si>
  <si>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</si>
  <si>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</si>
  <si>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</si>
  <si>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</si>
  <si>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</si>
  <si>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</si>
  <si>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</si>
  <si>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</si>
  <si>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</si>
  <si>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</si>
  <si>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</si>
  <si>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</si>
  <si>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</si>
  <si>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</si>
  <si>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</si>
  <si>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</si>
  <si>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</si>
  <si>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</si>
  <si>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</si>
  <si>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</si>
  <si>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</si>
  <si>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</si>
  <si>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</si>
  <si>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</si>
  <si>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</si>
  <si>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</si>
  <si>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</si>
  <si>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</si>
  <si>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</si>
  <si>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</si>
  <si>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</si>
  <si>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</si>
  <si>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</si>
  <si>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</si>
  <si>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</si>
  <si>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</si>
  <si>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</si>
  <si>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</si>
  <si>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</si>
  <si>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</si>
  <si>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</si>
  <si>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</si>
  <si>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</si>
  <si>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</si>
  <si>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</si>
  <si>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</si>
  <si>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</si>
  <si>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</si>
  <si>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</si>
  <si>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</si>
  <si>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</si>
  <si>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</si>
  <si>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</si>
  <si>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</si>
  <si>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</si>
  <si>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</si>
  <si>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</si>
  <si>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</si>
  <si>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</si>
  <si>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</si>
  <si>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</si>
  <si>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</si>
  <si>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</si>
  <si>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</si>
  <si>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</si>
  <si>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</si>
  <si>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</si>
  <si>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</si>
  <si>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</si>
  <si>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</si>
  <si>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</si>
  <si>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</si>
  <si>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</si>
  <si>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</si>
  <si>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</si>
  <si>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</si>
  <si>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</si>
  <si>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</si>
  <si>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</si>
  <si>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</si>
  <si>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</si>
  <si>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</si>
  <si>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</si>
  <si>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</si>
  <si>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</si>
  <si>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</si>
  <si>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</si>
  <si>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</si>
  <si>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</si>
  <si>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</si>
  <si>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</si>
  <si>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</si>
  <si>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</si>
  <si>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</si>
  <si>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</si>
  <si>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</si>
  <si>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</si>
  <si>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</si>
  <si>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</si>
  <si>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</si>
  <si>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</si>
  <si>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</si>
  <si>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</si>
  <si>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</si>
  <si>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</si>
  <si>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</si>
  <si>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</si>
  <si>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</si>
  <si>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</si>
  <si>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</si>
  <si>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</si>
  <si>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</si>
  <si>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</si>
  <si>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</si>
  <si>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</si>
  <si>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</si>
  <si>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</si>
  <si>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</si>
  <si>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</si>
  <si>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</si>
  <si>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</si>
  <si>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</si>
  <si>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</si>
  <si>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</si>
  <si>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</si>
  <si>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</si>
  <si>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</si>
  <si>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</si>
  <si>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</si>
  <si>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</si>
  <si>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</si>
  <si>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</si>
  <si>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</si>
  <si>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</si>
  <si>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</si>
  <si>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</si>
  <si>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</si>
  <si>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</si>
  <si>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</si>
  <si>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</si>
  <si>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</si>
  <si>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KPI</t>
  </si>
  <si>
    <t>Value</t>
  </si>
  <si>
    <t>Total Sales</t>
  </si>
  <si>
    <t>Total Profit</t>
  </si>
  <si>
    <t>Total Orders</t>
  </si>
  <si>
    <t>Average Order</t>
  </si>
  <si>
    <t>Highest Sale</t>
  </si>
  <si>
    <t>Lowest Sale</t>
  </si>
  <si>
    <t>Row Labels</t>
  </si>
  <si>
    <t>Grand Total</t>
  </si>
  <si>
    <t>Sum of Sales</t>
  </si>
  <si>
    <t>Sales by Region</t>
  </si>
  <si>
    <t>Sum of Profit</t>
  </si>
  <si>
    <t>Profit by Region</t>
  </si>
  <si>
    <t xml:space="preserve">                                  RetailHub Kenya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</si>
</sst>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
    <numFmt numFmtId="166" formatCode="[$Ksh-441]\ #,##0.00"/>
    <numFmt numFmtId="167" formatCode="[$Ksh-441]\ #,##0"/>
  </numFmts>
  <fonts count="3" x14ac:knownFonts="1">
    <font>
      <sz val="11"/>
      <color theme="1"/>
      <name val="Calibri"/>
      <family val="2"/>
      <scheme val="minor"/>
    </font>
    <font>
      <b/>
      <sz val="11"/>
      <name val="Calibri"/>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10">
    <dxf>
      <numFmt numFmtId="164" formatCode="yyyy\-mm\-dd"/>
    </dxf>
    <dxf>
      <font>
        <b/>
        <i val="0"/>
        <strike val="0"/>
        <condense val="0"/>
        <extend val="0"/>
        <outline val="0"/>
        <shadow val="0"/>
        <u val="none"/>
        <vertAlign val="baseline"/>
        <sz val="11"/>
        <color auto="1"/>
        <name val="Calibri"/>
        <scheme val="none"/>
      </font>
    </dxf>
    <dxf>
      <numFmt numFmtId="167" formatCode="[$Ksh-441]\ #,##0"/>
    </dxf>
    <dxf>
      <numFmt numFmtId="167" formatCode="[$Ksh-441]\ #,##0"/>
    </dxf>
    <dxf>
      <numFmt numFmtId="167" formatCode="[$Ksh-441]\ #,##0"/>
    </dxf>
    <dxf>
      <numFmt numFmtId="1" formatCode="0"/>
    </dxf>
    <dxf>
      <numFmt numFmtId="167" formatCode="[$Ksh-441]\ #,##0"/>
    </dxf>
    <dxf>
      <numFmt numFmtId="166" formatCode="[$Ksh-441]\ #,##0.00"/>
    </dxf>
    <dxf>
      <numFmt numFmtId="167" formatCode="[$Ksh-441]\ #,##0"/>
    </dxf>
    <dxf>
      <numFmt numFmtId="167" formatCode="[$Ksh-441]\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[Sales_Dashboard_Dataset_1000_Rows.xlsx]Total 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solidFill>
              <a:schemeClr val="accent6"/>
            </a:solidFill>
            <a:ln>
              <a:noFill/>
            </a:ln>
            <a:effectLst/>
          </c:spPr>
          <c:invertIfNegative val="0"/>
          <c:cat>
            <c:strRef>
              <c:f>'Total Sales by Region'!$A$4:$A$9</c:f>
              <c:strCache>
                <c:ptCount val="5"/>
                <c:pt idx="0">
                  <c:v>Nakuru</c:v>
                </c:pt>
                <c:pt idx="1">
                  <c:v>Nairobi</c:v>
                </c:pt>
                <c:pt idx="2">
                  <c:v>Kisumu</c:v>
                </c:pt>
                <c:pt idx="3">
                  <c:v>Eldoret</c:v>
                </c:pt>
                <c:pt idx="4">
                  <c:v>Mombasa</c:v>
                </c:pt>
              </c:strCache>
            </c:strRef>
          </c:cat>
          <c:val>
            <c:numRef>
              <c:f>'Total Sales by Region'!$B$4:$B$9</c:f>
              <c:numCache>
                <c:formatCode>[$Ksh-441]\ #,##0</c:formatCode>
                <c:ptCount val="5"/>
                <c:pt idx="0">
                  <c:v>42735850</c:v>
                </c:pt>
                <c:pt idx="1">
                  <c:v>37093050</c:v>
                </c:pt>
                <c:pt idx="2">
                  <c:v>35931850</c:v>
                </c:pt>
                <c:pt idx="3">
                  <c:v>30719700</c:v>
                </c:pt>
                <c:pt idx="4">
                  <c:v>29211850</c:v>
                </c:pt>
              </c:numCache>
            </c:numRef>
          </c:val>
          <c:extLst>
            <c:ext xmlns:c16="http://schemas.microsoft.com/office/drawing/2014/chart" uri="{C3380CC4-5D6E-409C-BE32-E72D297353CC}">
              <c16:uniqueId val="{00000000-9266-428D-841E-8C1DE841410E}"/>
            </c:ext>
          </c:extLst>
        </c:ser>
        <c:dLbls>
          <c:showLegendKey val="0"/>
          <c:showVal val="0"/>
          <c:showCatName val="0"/>
          <c:showSerName val="0"/>
          <c:showPercent val="0"/>
          <c:showBubbleSize val="0"/>
        </c:dLbls>
        <c:gapWidth val="219"/>
        <c:overlap val="-27"/>
        <c:axId val="727758336"/>
        <c:axId val="652967168"/>
      </c:barChart>
      <c:catAx>
        <c:axId val="7277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67168"/>
        <c:crosses val="autoZero"/>
        <c:auto val="1"/>
        <c:lblAlgn val="ctr"/>
        <c:lblOffset val="100"/>
        <c:noMultiLvlLbl val="0"/>
      </c:catAx>
      <c:valAx>
        <c:axId val="652967168"/>
        <c:scaling>
          <c:orientation val="minMax"/>
        </c:scaling>
        <c:delete val="0"/>
        <c:axPos val="l"/>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5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[Sales_Dashboard_Dataset_1000_Rows.xlsx]Profit by region!PivotTable3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region'!$A$4:$A$9</c:f>
              <c:strCache>
                <c:ptCount val="5"/>
                <c:pt idx="0">
                  <c:v>Nakuru</c:v>
                </c:pt>
                <c:pt idx="1">
                  <c:v>Nairobi</c:v>
                </c:pt>
                <c:pt idx="2">
                  <c:v>Kisumu</c:v>
                </c:pt>
                <c:pt idx="3">
                  <c:v>Eldoret</c:v>
                </c:pt>
                <c:pt idx="4">
                  <c:v>Mombasa</c:v>
                </c:pt>
              </c:strCache>
            </c:strRef>
          </c:cat>
          <c:val>
            <c:numRef>
              <c:f>'Profit by region'!$B$4:$B$9</c:f>
              <c:numCache>
                <c:formatCode>[$Ksh-441]\ #,##0</c:formatCode>
                <c:ptCount val="5"/>
                <c:pt idx="0">
                  <c:v>9649164.5</c:v>
                </c:pt>
                <c:pt idx="1">
                  <c:v>8536913.5</c:v>
                </c:pt>
                <c:pt idx="2">
                  <c:v>7556682.5</c:v>
                </c:pt>
                <c:pt idx="3">
                  <c:v>6747521.5</c:v>
                </c:pt>
                <c:pt idx="4">
                  <c:v>6558482</c:v>
                </c:pt>
              </c:numCache>
            </c:numRef>
          </c:val>
          <c:extLst>
            <c:ext xmlns:c16="http://schemas.microsoft.com/office/drawing/2014/chart" uri="{C3380CC4-5D6E-409C-BE32-E72D297353CC}">
              <c16:uniqueId val="{00000000-9604-444D-B036-43A12CB04E49}"/>
            </c:ext>
          </c:extLst>
        </c:ser>
        <c:dLbls>
          <c:dLblPos val="inEnd"/>
          <c:showLegendKey val="0"/>
          <c:showVal val="1"/>
          <c:showCatName val="0"/>
          <c:showSerName val="0"/>
          <c:showPercent val="0"/>
          <c:showBubbleSize val="0"/>
        </c:dLbls>
        <c:gapWidth val="115"/>
        <c:overlap val="-20"/>
        <c:axId val="891271984"/>
        <c:axId val="803050560"/>
      </c:barChart>
      <c:catAx>
        <c:axId val="8912719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50560"/>
        <c:crosses val="autoZero"/>
        <c:auto val="1"/>
        <c:lblAlgn val="ctr"/>
        <c:lblOffset val="100"/>
        <c:noMultiLvlLbl val="0"/>
      </c:catAx>
      <c:valAx>
        <c:axId val="803050560"/>
        <c:scaling>
          <c:orientation val="minMax"/>
        </c:scaling>
        <c:delete val="0"/>
        <c:axPos val="b"/>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[Sales_Dashboard_Dataset_1000_Rows.xlsx]Sales by category!PivotTable4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8F-43E1-8DB3-4946C50AE689}"/>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D7EE-4406-BD91-1855044CFF2B}"/>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D7EE-4406-BD91-1855044CFF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Electronics</c:v>
                </c:pt>
                <c:pt idx="1">
                  <c:v>Furniture</c:v>
                </c:pt>
                <c:pt idx="2">
                  <c:v>Office Supplies</c:v>
                </c:pt>
              </c:strCache>
            </c:strRef>
          </c:cat>
          <c:val>
            <c:numRef>
              <c:f>'Sales by category'!$B$4:$B$7</c:f>
              <c:numCache>
                <c:formatCode>[$Ksh-441]\ #,##0.00</c:formatCode>
                <c:ptCount val="3"/>
                <c:pt idx="0">
                  <c:v>125141000</c:v>
                </c:pt>
                <c:pt idx="1">
                  <c:v>48679000</c:v>
                </c:pt>
                <c:pt idx="2">
                  <c:v>1872300</c:v>
                </c:pt>
              </c:numCache>
            </c:numRef>
          </c:val>
          <c:extLst>
            <c:ext xmlns:c16="http://schemas.microsoft.com/office/drawing/2014/chart" uri="{C3380CC4-5D6E-409C-BE32-E72D297353CC}">
              <c16:uniqueId val="{00000000-D7EE-4406-BD91-1855044CFF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[Sales_Dashboard_Dataset_1000_Rows.xlsx]Monthly sales trend!PivotTable5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a:glow rad="127000">
            <a:schemeClr val="tx1"/>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[$Ksh-441]\ #,##0</c:formatCode>
                <c:ptCount val="12"/>
                <c:pt idx="0">
                  <c:v>11491350</c:v>
                </c:pt>
                <c:pt idx="1">
                  <c:v>18100300</c:v>
                </c:pt>
                <c:pt idx="2">
                  <c:v>20410450</c:v>
                </c:pt>
                <c:pt idx="3">
                  <c:v>16922700</c:v>
                </c:pt>
                <c:pt idx="4">
                  <c:v>12746600</c:v>
                </c:pt>
                <c:pt idx="5">
                  <c:v>11443850</c:v>
                </c:pt>
                <c:pt idx="6">
                  <c:v>13663200</c:v>
                </c:pt>
                <c:pt idx="7">
                  <c:v>11731300</c:v>
                </c:pt>
                <c:pt idx="8">
                  <c:v>16136100</c:v>
                </c:pt>
                <c:pt idx="9">
                  <c:v>12626850</c:v>
                </c:pt>
                <c:pt idx="10">
                  <c:v>14454750</c:v>
                </c:pt>
                <c:pt idx="11">
                  <c:v>15964850</c:v>
                </c:pt>
              </c:numCache>
            </c:numRef>
          </c:val>
          <c:smooth val="0"/>
          <c:extLst>
            <c:ext xmlns:c16="http://schemas.microsoft.com/office/drawing/2014/chart" uri="{C3380CC4-5D6E-409C-BE32-E72D297353CC}">
              <c16:uniqueId val="{00000000-9307-4CDE-AE66-577BCD45D107}"/>
            </c:ext>
          </c:extLst>
        </c:ser>
        <c:dLbls>
          <c:showLegendKey val="0"/>
          <c:showVal val="0"/>
          <c:showCatName val="0"/>
          <c:showSerName val="0"/>
          <c:showPercent val="0"/>
          <c:showBubbleSize val="0"/>
        </c:dLbls>
        <c:marker val="1"/>
        <c:smooth val="0"/>
        <c:axId val="891275696"/>
        <c:axId val="803064000"/>
      </c:lineChart>
      <c:catAx>
        <c:axId val="8912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64000"/>
        <c:crosses val="autoZero"/>
        <c:auto val="1"/>
        <c:lblAlgn val="ctr"/>
        <c:lblOffset val="100"/>
        <c:noMultiLvlLbl val="0"/>
      </c:catAx>
      <c:valAx>
        <c:axId val="803064000"/>
        <c:scaling>
          <c:orientation val="minMax"/>
        </c:scaling>
        <c:delete val="0"/>
        <c:axPos val="l"/>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[Sales_Dashboard_Dataset_1000_Rows.xlsx]Salesperson performance!PivotTable6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Sum of Sales</c:v>
                </c:pt>
              </c:strCache>
            </c:strRef>
          </c:tx>
          <c:spPr>
            <a:solidFill>
              <a:schemeClr val="accent1"/>
            </a:solidFill>
            <a:ln>
              <a:noFill/>
            </a:ln>
            <a:effectLst/>
          </c:spPr>
          <c:invertIfNegative val="0"/>
          <c:cat>
            <c:strRef>
              <c:f>'Salesperson performance'!$A$4:$A$14</c:f>
              <c:strCache>
                <c:ptCount val="10"/>
                <c:pt idx="0">
                  <c:v>Alice</c:v>
                </c:pt>
                <c:pt idx="1">
                  <c:v>Brian</c:v>
                </c:pt>
                <c:pt idx="2">
                  <c:v>Daniel</c:v>
                </c:pt>
                <c:pt idx="3">
                  <c:v>Faith</c:v>
                </c:pt>
                <c:pt idx="4">
                  <c:v>Grace</c:v>
                </c:pt>
                <c:pt idx="5">
                  <c:v>James</c:v>
                </c:pt>
                <c:pt idx="6">
                  <c:v>John</c:v>
                </c:pt>
                <c:pt idx="7">
                  <c:v>Kevin</c:v>
                </c:pt>
                <c:pt idx="8">
                  <c:v>Mary</c:v>
                </c:pt>
                <c:pt idx="9">
                  <c:v>Mercy</c:v>
                </c:pt>
              </c:strCache>
            </c:strRef>
          </c:cat>
          <c:val>
            <c:numRef>
              <c:f>'Salesperson performance'!$B$4:$B$14</c:f>
              <c:numCache>
                <c:formatCode>[$Ksh-441]\ #,##0</c:formatCode>
                <c:ptCount val="10"/>
                <c:pt idx="0">
                  <c:v>22209350</c:v>
                </c:pt>
                <c:pt idx="1">
                  <c:v>20765500</c:v>
                </c:pt>
                <c:pt idx="2">
                  <c:v>16669300</c:v>
                </c:pt>
                <c:pt idx="3">
                  <c:v>22888950</c:v>
                </c:pt>
                <c:pt idx="4">
                  <c:v>13378550</c:v>
                </c:pt>
                <c:pt idx="5">
                  <c:v>18903200</c:v>
                </c:pt>
                <c:pt idx="6">
                  <c:v>10166050</c:v>
                </c:pt>
                <c:pt idx="7">
                  <c:v>20616500</c:v>
                </c:pt>
                <c:pt idx="8">
                  <c:v>9643350</c:v>
                </c:pt>
                <c:pt idx="9">
                  <c:v>20451550</c:v>
                </c:pt>
              </c:numCache>
            </c:numRef>
          </c:val>
          <c:extLst>
            <c:ext xmlns:c16="http://schemas.microsoft.com/office/drawing/2014/chart" uri="{C3380CC4-5D6E-409C-BE32-E72D297353CC}">
              <c16:uniqueId val="{00000000-AE48-4A37-949D-14556F065A51}"/>
            </c:ext>
          </c:extLst>
        </c:ser>
        <c:ser>
          <c:idx val="1"/>
          <c:order val="1"/>
          <c:tx>
            <c:strRef>
              <c:f>'Salesperson performance'!$C$3</c:f>
              <c:strCache>
                <c:ptCount val="1"/>
                <c:pt idx="0">
                  <c:v>Sum of Profit</c:v>
                </c:pt>
              </c:strCache>
            </c:strRef>
          </c:tx>
          <c:spPr>
            <a:solidFill>
              <a:schemeClr val="accent6"/>
            </a:solidFill>
            <a:ln>
              <a:noFill/>
            </a:ln>
            <a:effectLst/>
          </c:spPr>
          <c:invertIfNegative val="0"/>
          <c:cat>
            <c:strRef>
              <c:f>'Salesperson performance'!$A$4:$A$14</c:f>
              <c:strCache>
                <c:ptCount val="10"/>
                <c:pt idx="0">
                  <c:v>Alice</c:v>
                </c:pt>
                <c:pt idx="1">
                  <c:v>Brian</c:v>
                </c:pt>
                <c:pt idx="2">
                  <c:v>Daniel</c:v>
                </c:pt>
                <c:pt idx="3">
                  <c:v>Faith</c:v>
                </c:pt>
                <c:pt idx="4">
                  <c:v>Grace</c:v>
                </c:pt>
                <c:pt idx="5">
                  <c:v>James</c:v>
                </c:pt>
                <c:pt idx="6">
                  <c:v>John</c:v>
                </c:pt>
                <c:pt idx="7">
                  <c:v>Kevin</c:v>
                </c:pt>
                <c:pt idx="8">
                  <c:v>Mary</c:v>
                </c:pt>
                <c:pt idx="9">
                  <c:v>Mercy</c:v>
                </c:pt>
              </c:strCache>
            </c:strRef>
          </c:cat>
          <c:val>
            <c:numRef>
              <c:f>'Salesperson performance'!$C$4:$C$14</c:f>
              <c:numCache>
                <c:formatCode>[$Ksh-441]\ #,##0</c:formatCode>
                <c:ptCount val="10"/>
                <c:pt idx="0">
                  <c:v>4968885.5</c:v>
                </c:pt>
                <c:pt idx="1">
                  <c:v>4450056.5</c:v>
                </c:pt>
                <c:pt idx="2">
                  <c:v>3788337</c:v>
                </c:pt>
                <c:pt idx="3">
                  <c:v>4976900</c:v>
                </c:pt>
                <c:pt idx="4">
                  <c:v>3026461.5</c:v>
                </c:pt>
                <c:pt idx="5">
                  <c:v>4260378.5</c:v>
                </c:pt>
                <c:pt idx="6">
                  <c:v>2234968.5</c:v>
                </c:pt>
                <c:pt idx="7">
                  <c:v>4553341</c:v>
                </c:pt>
                <c:pt idx="8">
                  <c:v>2235788.5</c:v>
                </c:pt>
                <c:pt idx="9">
                  <c:v>4553647</c:v>
                </c:pt>
              </c:numCache>
            </c:numRef>
          </c:val>
          <c:extLst>
            <c:ext xmlns:c16="http://schemas.microsoft.com/office/drawing/2014/chart" uri="{C3380CC4-5D6E-409C-BE32-E72D297353CC}">
              <c16:uniqueId val="{00000001-AE48-4A37-949D-14556F065A51}"/>
            </c:ext>
          </c:extLst>
        </c:ser>
        <c:dLbls>
          <c:showLegendKey val="0"/>
          <c:showVal val="0"/>
          <c:showCatName val="0"/>
          <c:showSerName val="0"/>
          <c:showPercent val="0"/>
          <c:showBubbleSize val="0"/>
        </c:dLbls>
        <c:gapWidth val="182"/>
        <c:axId val="917992048"/>
        <c:axId val="652957568"/>
      </c:barChart>
      <c:catAx>
        <c:axId val="91799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57568"/>
        <c:crosses val="autoZero"/>
        <c:auto val="1"/>
        <c:lblAlgn val="ctr"/>
        <c:lblOffset val="100"/>
        <c:noMultiLvlLbl val="0"/>
      </c:catAx>
      <c:valAx>
        <c:axId val="652957568"/>
        <c:scaling>
          <c:orientation val="minMax"/>
        </c:scaling>
        <c:delete val="0"/>
        <c:axPos val="b"/>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9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[Sales_Dashboard_Dataset_1000_Rows.xlsx]Total Sales by Region!PivotTable1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solidFill>
              <a:schemeClr val="accent1"/>
            </a:solidFill>
            <a:ln>
              <a:noFill/>
            </a:ln>
            <a:effectLst/>
          </c:spPr>
          <c:invertIfNegative val="0"/>
          <c:cat>
            <c:strRef>
              <c:f>'Total Sales by Region'!$A$4:$A$9</c:f>
              <c:strCache>
                <c:ptCount val="5"/>
                <c:pt idx="0">
                  <c:v>Nakuru</c:v>
                </c:pt>
                <c:pt idx="1">
                  <c:v>Nairobi</c:v>
                </c:pt>
                <c:pt idx="2">
                  <c:v>Kisumu</c:v>
                </c:pt>
                <c:pt idx="3">
                  <c:v>Eldoret</c:v>
                </c:pt>
                <c:pt idx="4">
                  <c:v>Mombasa</c:v>
                </c:pt>
              </c:strCache>
            </c:strRef>
          </c:cat>
          <c:val>
            <c:numRef>
              <c:f>'Total Sales by Region'!$B$4:$B$9</c:f>
              <c:numCache>
                <c:formatCode>[$Ksh-441]\ #,##0</c:formatCode>
                <c:ptCount val="5"/>
                <c:pt idx="0">
                  <c:v>42735850</c:v>
                </c:pt>
                <c:pt idx="1">
                  <c:v>37093050</c:v>
                </c:pt>
                <c:pt idx="2">
                  <c:v>35931850</c:v>
                </c:pt>
                <c:pt idx="3">
                  <c:v>30719700</c:v>
                </c:pt>
                <c:pt idx="4">
                  <c:v>29211850</c:v>
                </c:pt>
              </c:numCache>
            </c:numRef>
          </c:val>
          <c:extLst>
            <c:ext xmlns:c16="http://schemas.microsoft.com/office/drawing/2014/chart" uri="{C3380CC4-5D6E-409C-BE32-E72D297353CC}">
              <c16:uniqueId val="{00000000-CC3C-421B-9684-6C8DDAE37052}"/>
            </c:ext>
          </c:extLst>
        </c:ser>
        <c:dLbls>
          <c:showLegendKey val="0"/>
          <c:showVal val="0"/>
          <c:showCatName val="0"/>
          <c:showSerName val="0"/>
          <c:showPercent val="0"/>
          <c:showBubbleSize val="0"/>
        </c:dLbls>
        <c:gapWidth val="219"/>
        <c:overlap val="-27"/>
        <c:axId val="727758336"/>
        <c:axId val="652967168"/>
      </c:barChart>
      <c:catAx>
        <c:axId val="7277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67168"/>
        <c:crosses val="autoZero"/>
        <c:auto val="1"/>
        <c:lblAlgn val="ctr"/>
        <c:lblOffset val="100"/>
        <c:noMultiLvlLbl val="0"/>
      </c:catAx>
      <c:valAx>
        <c:axId val="652967168"/>
        <c:scaling>
          <c:orientation val="minMax"/>
        </c:scaling>
        <c:delete val="0"/>
        <c:axPos val="l"/>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5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[Sales_Dashboard_Dataset_1000_Rows.xlsx]Monthly sales trend!PivotTable5</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Sales Trend</a:t>
            </a:r>
          </a:p>
        </c:rich>
      </c:tx>
      <c:layout>
        <c:manualLayout>
          <c:xMode val="edge"/>
          <c:yMode val="edge"/>
          <c:x val="0.27840416224567671"/>
          <c:y val="4.794521409866143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1132704156664"/>
          <c:y val="0.30788818320357086"/>
          <c:w val="0.80666834198916626"/>
          <c:h val="0.51358196051881499"/>
        </c:manualLayout>
      </c:layout>
      <c:lineChart>
        <c:grouping val="standard"/>
        <c:varyColors val="0"/>
        <c:ser>
          <c:idx val="0"/>
          <c:order val="0"/>
          <c:tx>
            <c:strRef>
              <c:f>'Monthly sales trend'!$B$3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[$Ksh-441]\ #,##0</c:formatCode>
                <c:ptCount val="12"/>
                <c:pt idx="0">
                  <c:v>11491350</c:v>
                </c:pt>
                <c:pt idx="1">
                  <c:v>18100300</c:v>
                </c:pt>
                <c:pt idx="2">
                  <c:v>20410450</c:v>
                </c:pt>
                <c:pt idx="3">
                  <c:v>16922700</c:v>
                </c:pt>
                <c:pt idx="4">
                  <c:v>12746600</c:v>
                </c:pt>
                <c:pt idx="5">
                  <c:v>11443850</c:v>
                </c:pt>
                <c:pt idx="6">
                  <c:v>13663200</c:v>
                </c:pt>
                <c:pt idx="7">
                  <c:v>11731300</c:v>
                </c:pt>
                <c:pt idx="8">
                  <c:v>16136100</c:v>
                </c:pt>
                <c:pt idx="9">
                  <c:v>12626850</c:v>
                </c:pt>
                <c:pt idx="10">
                  <c:v>14454750</c:v>
                </c:pt>
                <c:pt idx="11">
                  <c:v>15964850</c:v>
                </c:pt>
              </c:numCache>
            </c:numRef>
          </c:val>
          <c:smooth val="0"/>
          <c:extLst>
            <c:ext xmlns:c16="http://schemas.microsoft.com/office/drawing/2014/chart" uri="{C3380CC4-5D6E-409C-BE32-E72D297353CC}">
              <c16:uniqueId val="{00000000-072F-49EE-A3E2-CA6290E601E9}"/>
            </c:ext>
          </c:extLst>
        </c:ser>
        <c:dLbls>
          <c:showLegendKey val="0"/>
          <c:showVal val="0"/>
          <c:showCatName val="0"/>
          <c:showSerName val="0"/>
          <c:showPercent val="0"/>
          <c:showBubbleSize val="0"/>
        </c:dLbls>
        <c:marker val="1"/>
        <c:smooth val="0"/>
        <c:axId val="891275696"/>
        <c:axId val="803064000"/>
      </c:lineChart>
      <c:catAx>
        <c:axId val="891275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3064000"/>
        <c:crosses val="autoZero"/>
        <c:auto val="1"/>
        <c:lblAlgn val="ctr"/>
        <c:lblOffset val="100"/>
        <c:noMultiLvlLbl val="0"/>
      </c:catAx>
      <c:valAx>
        <c:axId val="803064000"/>
        <c:scaling>
          <c:orientation val="minMax"/>
        </c:scaling>
        <c:delete val="0"/>
        <c:axPos val="l"/>
        <c:numFmt formatCode="[$Ksh-441]\ #,##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[Sales_Dashboard_Dataset_1000_Rows.xlsx]Sales by category!PivotTable4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50-4C96-82F7-A65A5F32598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7950-4C96-82F7-A65A5F32598D}"/>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950-4C96-82F7-A65A5F32598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Electronics</c:v>
                </c:pt>
                <c:pt idx="1">
                  <c:v>Furniture</c:v>
                </c:pt>
                <c:pt idx="2">
                  <c:v>Office Supplies</c:v>
                </c:pt>
              </c:strCache>
            </c:strRef>
          </c:cat>
          <c:val>
            <c:numRef>
              <c:f>'Sales by category'!$B$4:$B$7</c:f>
              <c:numCache>
                <c:formatCode>[$Ksh-441]\ #,##0.00</c:formatCode>
                <c:ptCount val="3"/>
                <c:pt idx="0">
                  <c:v>125141000</c:v>
                </c:pt>
                <c:pt idx="1">
                  <c:v>48679000</c:v>
                </c:pt>
                <c:pt idx="2">
                  <c:v>1872300</c:v>
                </c:pt>
              </c:numCache>
            </c:numRef>
          </c:val>
          <c:extLst>
            <c:ext xmlns:c16="http://schemas.microsoft.com/office/drawing/2014/chart" uri="{C3380CC4-5D6E-409C-BE32-E72D297353CC}">
              <c16:uniqueId val="{00000006-7950-4C96-82F7-A65A5F3259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[Sales_Dashboard_Dataset_1000_Rows.xlsx]Salesperson performance!PivotTable6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Sum of Sales</c:v>
                </c:pt>
              </c:strCache>
            </c:strRef>
          </c:tx>
          <c:spPr>
            <a:solidFill>
              <a:schemeClr val="accent1"/>
            </a:solidFill>
            <a:ln>
              <a:noFill/>
            </a:ln>
            <a:effectLst/>
          </c:spPr>
          <c:invertIfNegative val="0"/>
          <c:cat>
            <c:strRef>
              <c:f>'Salesperson performance'!$A$4:$A$14</c:f>
              <c:strCache>
                <c:ptCount val="10"/>
                <c:pt idx="0">
                  <c:v>Alice</c:v>
                </c:pt>
                <c:pt idx="1">
                  <c:v>Brian</c:v>
                </c:pt>
                <c:pt idx="2">
                  <c:v>Daniel</c:v>
                </c:pt>
                <c:pt idx="3">
                  <c:v>Faith</c:v>
                </c:pt>
                <c:pt idx="4">
                  <c:v>Grace</c:v>
                </c:pt>
                <c:pt idx="5">
                  <c:v>James</c:v>
                </c:pt>
                <c:pt idx="6">
                  <c:v>John</c:v>
                </c:pt>
                <c:pt idx="7">
                  <c:v>Kevin</c:v>
                </c:pt>
                <c:pt idx="8">
                  <c:v>Mary</c:v>
                </c:pt>
                <c:pt idx="9">
                  <c:v>Mercy</c:v>
                </c:pt>
              </c:strCache>
            </c:strRef>
          </c:cat>
          <c:val>
            <c:numRef>
              <c:f>'Salesperson performance'!$B$4:$B$14</c:f>
              <c:numCache>
                <c:formatCode>[$Ksh-441]\ #,##0</c:formatCode>
                <c:ptCount val="10"/>
                <c:pt idx="0">
                  <c:v>22209350</c:v>
                </c:pt>
                <c:pt idx="1">
                  <c:v>20765500</c:v>
                </c:pt>
                <c:pt idx="2">
                  <c:v>16669300</c:v>
                </c:pt>
                <c:pt idx="3">
                  <c:v>22888950</c:v>
                </c:pt>
                <c:pt idx="4">
                  <c:v>13378550</c:v>
                </c:pt>
                <c:pt idx="5">
                  <c:v>18903200</c:v>
                </c:pt>
                <c:pt idx="6">
                  <c:v>10166050</c:v>
                </c:pt>
                <c:pt idx="7">
                  <c:v>20616500</c:v>
                </c:pt>
                <c:pt idx="8">
                  <c:v>9643350</c:v>
                </c:pt>
                <c:pt idx="9">
                  <c:v>20451550</c:v>
                </c:pt>
              </c:numCache>
            </c:numRef>
          </c:val>
          <c:extLst>
            <c:ext xmlns:c16="http://schemas.microsoft.com/office/drawing/2014/chart" uri="{C3380CC4-5D6E-409C-BE32-E72D297353CC}">
              <c16:uniqueId val="{00000000-1DA5-490D-8504-A0736F2E9CAA}"/>
            </c:ext>
          </c:extLst>
        </c:ser>
        <c:ser>
          <c:idx val="1"/>
          <c:order val="1"/>
          <c:tx>
            <c:strRef>
              <c:f>'Salesperson performance'!$C$3</c:f>
              <c:strCache>
                <c:ptCount val="1"/>
                <c:pt idx="0">
                  <c:v>Sum of Profit</c:v>
                </c:pt>
              </c:strCache>
            </c:strRef>
          </c:tx>
          <c:spPr>
            <a:solidFill>
              <a:schemeClr val="accent6"/>
            </a:solidFill>
            <a:ln>
              <a:noFill/>
            </a:ln>
            <a:effectLst/>
          </c:spPr>
          <c:invertIfNegative val="0"/>
          <c:cat>
            <c:strRef>
              <c:f>'Salesperson performance'!$A$4:$A$14</c:f>
              <c:strCache>
                <c:ptCount val="10"/>
                <c:pt idx="0">
                  <c:v>Alice</c:v>
                </c:pt>
                <c:pt idx="1">
                  <c:v>Brian</c:v>
                </c:pt>
                <c:pt idx="2">
                  <c:v>Daniel</c:v>
                </c:pt>
                <c:pt idx="3">
                  <c:v>Faith</c:v>
                </c:pt>
                <c:pt idx="4">
                  <c:v>Grace</c:v>
                </c:pt>
                <c:pt idx="5">
                  <c:v>James</c:v>
                </c:pt>
                <c:pt idx="6">
                  <c:v>John</c:v>
                </c:pt>
                <c:pt idx="7">
                  <c:v>Kevin</c:v>
                </c:pt>
                <c:pt idx="8">
                  <c:v>Mary</c:v>
                </c:pt>
                <c:pt idx="9">
                  <c:v>Mercy</c:v>
                </c:pt>
              </c:strCache>
            </c:strRef>
          </c:cat>
          <c:val>
            <c:numRef>
              <c:f>'Salesperson performance'!$C$4:$C$14</c:f>
              <c:numCache>
                <c:formatCode>[$Ksh-441]\ #,##0</c:formatCode>
                <c:ptCount val="10"/>
                <c:pt idx="0">
                  <c:v>4968885.5</c:v>
                </c:pt>
                <c:pt idx="1">
                  <c:v>4450056.5</c:v>
                </c:pt>
                <c:pt idx="2">
                  <c:v>3788337</c:v>
                </c:pt>
                <c:pt idx="3">
                  <c:v>4976900</c:v>
                </c:pt>
                <c:pt idx="4">
                  <c:v>3026461.5</c:v>
                </c:pt>
                <c:pt idx="5">
                  <c:v>4260378.5</c:v>
                </c:pt>
                <c:pt idx="6">
                  <c:v>2234968.5</c:v>
                </c:pt>
                <c:pt idx="7">
                  <c:v>4553341</c:v>
                </c:pt>
                <c:pt idx="8">
                  <c:v>2235788.5</c:v>
                </c:pt>
                <c:pt idx="9">
                  <c:v>4553647</c:v>
                </c:pt>
              </c:numCache>
            </c:numRef>
          </c:val>
          <c:extLst>
            <c:ext xmlns:c16="http://schemas.microsoft.com/office/drawing/2014/chart" uri="{C3380CC4-5D6E-409C-BE32-E72D297353CC}">
              <c16:uniqueId val="{00000001-1DA5-490D-8504-A0736F2E9CAA}"/>
            </c:ext>
          </c:extLst>
        </c:ser>
        <c:dLbls>
          <c:showLegendKey val="0"/>
          <c:showVal val="0"/>
          <c:showCatName val="0"/>
          <c:showSerName val="0"/>
          <c:showPercent val="0"/>
          <c:showBubbleSize val="0"/>
        </c:dLbls>
        <c:gapWidth val="182"/>
        <c:axId val="917992048"/>
        <c:axId val="652957568"/>
      </c:barChart>
      <c:catAx>
        <c:axId val="91799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57568"/>
        <c:crosses val="autoZero"/>
        <c:auto val="1"/>
        <c:lblAlgn val="ctr"/>
        <c:lblOffset val="100"/>
        <c:noMultiLvlLbl val="0"/>
      </c:catAx>
      <c:valAx>
        <c:axId val="652957568"/>
        <c:scaling>
          <c:orientation val="minMax"/>
        </c:scaling>
        <c:delete val="0"/>
        <c:axPos val="b"/>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9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[Sales_Dashboard_Dataset_1000_Rows.xlsx]Profit by region!PivotTable3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region'!$A$4:$A$9</c:f>
              <c:strCache>
                <c:ptCount val="5"/>
                <c:pt idx="0">
                  <c:v>Nakuru</c:v>
                </c:pt>
                <c:pt idx="1">
                  <c:v>Nairobi</c:v>
                </c:pt>
                <c:pt idx="2">
                  <c:v>Kisumu</c:v>
                </c:pt>
                <c:pt idx="3">
                  <c:v>Eldoret</c:v>
                </c:pt>
                <c:pt idx="4">
                  <c:v>Mombasa</c:v>
                </c:pt>
              </c:strCache>
            </c:strRef>
          </c:cat>
          <c:val>
            <c:numRef>
              <c:f>'Profit by region'!$B$4:$B$9</c:f>
              <c:numCache>
                <c:formatCode>[$Ksh-441]\ #,##0</c:formatCode>
                <c:ptCount val="5"/>
                <c:pt idx="0">
                  <c:v>9649164.5</c:v>
                </c:pt>
                <c:pt idx="1">
                  <c:v>8536913.5</c:v>
                </c:pt>
                <c:pt idx="2">
                  <c:v>7556682.5</c:v>
                </c:pt>
                <c:pt idx="3">
                  <c:v>6747521.5</c:v>
                </c:pt>
                <c:pt idx="4">
                  <c:v>6558482</c:v>
                </c:pt>
              </c:numCache>
            </c:numRef>
          </c:val>
          <c:extLst>
            <c:ext xmlns:c16="http://schemas.microsoft.com/office/drawing/2014/chart" uri="{C3380CC4-5D6E-409C-BE32-E72D297353CC}">
              <c16:uniqueId val="{00000000-B7D9-4178-AAAA-7AF58B427D84}"/>
            </c:ext>
          </c:extLst>
        </c:ser>
        <c:dLbls>
          <c:dLblPos val="inEnd"/>
          <c:showLegendKey val="0"/>
          <c:showVal val="1"/>
          <c:showCatName val="0"/>
          <c:showSerName val="0"/>
          <c:showPercent val="0"/>
          <c:showBubbleSize val="0"/>
        </c:dLbls>
        <c:gapWidth val="182"/>
        <c:axId val="891271984"/>
        <c:axId val="803050560"/>
      </c:barChart>
      <c:catAx>
        <c:axId val="89127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50560"/>
        <c:crosses val="autoZero"/>
        <c:auto val="1"/>
        <c:lblAlgn val="ctr"/>
        <c:lblOffset val="100"/>
        <c:noMultiLvlLbl val="0"/>
      </c:catAx>
      <c:valAx>
        <c:axId val="803050560"/>
        <c:scaling>
          <c:orientation val="minMax"/>
        </c:scaling>
        <c:delete val="0"/>
        <c:axPos val="b"/>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[Sales_Dashboard_Dataset_1000_Rows.xlsx]Total sales by Products!PivotTable8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209200890705"/>
          <c:y val="0.27201550387596901"/>
          <c:w val="0.79604156623279232"/>
          <c:h val="0.53264908746871753"/>
        </c:manualLayout>
      </c:layout>
      <c:barChart>
        <c:barDir val="bar"/>
        <c:grouping val="clustered"/>
        <c:varyColors val="0"/>
        <c:ser>
          <c:idx val="0"/>
          <c:order val="0"/>
          <c:tx>
            <c:strRef>
              <c:f>'Total sales by Products'!$B$3</c:f>
              <c:strCache>
                <c:ptCount val="1"/>
                <c:pt idx="0">
                  <c:v>Total</c:v>
                </c:pt>
              </c:strCache>
            </c:strRef>
          </c:tx>
          <c:spPr>
            <a:solidFill>
              <a:schemeClr val="accent1"/>
            </a:solidFill>
            <a:ln>
              <a:noFill/>
            </a:ln>
            <a:effectLst/>
          </c:spPr>
          <c:invertIfNegative val="0"/>
          <c:cat>
            <c:strRef>
              <c:f>'Total sales by Products'!$A$4:$A$14</c:f>
              <c:strCache>
                <c:ptCount val="10"/>
                <c:pt idx="0">
                  <c:v>Chair</c:v>
                </c:pt>
                <c:pt idx="1">
                  <c:v>Desk</c:v>
                </c:pt>
                <c:pt idx="2">
                  <c:v>Cabinet</c:v>
                </c:pt>
                <c:pt idx="3">
                  <c:v>Bookshelf</c:v>
                </c:pt>
                <c:pt idx="4">
                  <c:v>Monitor</c:v>
                </c:pt>
                <c:pt idx="5">
                  <c:v>Phone</c:v>
                </c:pt>
                <c:pt idx="6">
                  <c:v>Printer</c:v>
                </c:pt>
                <c:pt idx="7">
                  <c:v>Office Table</c:v>
                </c:pt>
                <c:pt idx="8">
                  <c:v>Tablet</c:v>
                </c:pt>
                <c:pt idx="9">
                  <c:v>Laptop</c:v>
                </c:pt>
              </c:strCache>
            </c:strRef>
          </c:cat>
          <c:val>
            <c:numRef>
              <c:f>'Total sales by Products'!$B$4:$B$14</c:f>
              <c:numCache>
                <c:formatCode>[$Ksh-441]\ #,##0</c:formatCode>
                <c:ptCount val="10"/>
                <c:pt idx="0">
                  <c:v>3485000</c:v>
                </c:pt>
                <c:pt idx="1">
                  <c:v>5328000</c:v>
                </c:pt>
                <c:pt idx="2">
                  <c:v>10260000</c:v>
                </c:pt>
                <c:pt idx="3">
                  <c:v>10620000</c:v>
                </c:pt>
                <c:pt idx="4">
                  <c:v>14532000</c:v>
                </c:pt>
                <c:pt idx="5">
                  <c:v>15505000</c:v>
                </c:pt>
                <c:pt idx="6">
                  <c:v>16075000</c:v>
                </c:pt>
                <c:pt idx="7">
                  <c:v>18986000</c:v>
                </c:pt>
                <c:pt idx="8">
                  <c:v>27585000</c:v>
                </c:pt>
                <c:pt idx="9">
                  <c:v>49300000</c:v>
                </c:pt>
              </c:numCache>
            </c:numRef>
          </c:val>
          <c:extLst>
            <c:ext xmlns:c16="http://schemas.microsoft.com/office/drawing/2014/chart" uri="{C3380CC4-5D6E-409C-BE32-E72D297353CC}">
              <c16:uniqueId val="{00000000-8CB9-4D5F-9148-267A7D5E0C97}"/>
            </c:ext>
          </c:extLst>
        </c:ser>
        <c:dLbls>
          <c:showLegendKey val="0"/>
          <c:showVal val="0"/>
          <c:showCatName val="0"/>
          <c:showSerName val="0"/>
          <c:showPercent val="0"/>
          <c:showBubbleSize val="0"/>
        </c:dLbls>
        <c:gapWidth val="182"/>
        <c:axId val="1041759936"/>
        <c:axId val="1029535456"/>
      </c:barChart>
      <c:catAx>
        <c:axId val="104175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35456"/>
        <c:crosses val="autoZero"/>
        <c:auto val="1"/>
        <c:lblAlgn val="ctr"/>
        <c:lblOffset val="100"/>
        <c:noMultiLvlLbl val="0"/>
      </c:catAx>
      <c:valAx>
        <c:axId val="1029535456"/>
        <c:scaling>
          <c:orientation val="minMax"/>
        </c:scaling>
        <c:delete val="0"/>
        <c:axPos val="b"/>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5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[Sales_Dashboard_Dataset_1000_Rows.xlsx]Total sales by Products!PivotTable8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Products'!$B$3</c:f>
              <c:strCache>
                <c:ptCount val="1"/>
                <c:pt idx="0">
                  <c:v>Total</c:v>
                </c:pt>
              </c:strCache>
            </c:strRef>
          </c:tx>
          <c:spPr>
            <a:solidFill>
              <a:schemeClr val="accent6"/>
            </a:solidFill>
            <a:ln>
              <a:noFill/>
            </a:ln>
            <a:effectLst/>
          </c:spPr>
          <c:invertIfNegative val="0"/>
          <c:cat>
            <c:strRef>
              <c:f>'Total sales by Products'!$A$4:$A$14</c:f>
              <c:strCache>
                <c:ptCount val="10"/>
                <c:pt idx="0">
                  <c:v>Chair</c:v>
                </c:pt>
                <c:pt idx="1">
                  <c:v>Desk</c:v>
                </c:pt>
                <c:pt idx="2">
                  <c:v>Cabinet</c:v>
                </c:pt>
                <c:pt idx="3">
                  <c:v>Bookshelf</c:v>
                </c:pt>
                <c:pt idx="4">
                  <c:v>Monitor</c:v>
                </c:pt>
                <c:pt idx="5">
                  <c:v>Phone</c:v>
                </c:pt>
                <c:pt idx="6">
                  <c:v>Printer</c:v>
                </c:pt>
                <c:pt idx="7">
                  <c:v>Office Table</c:v>
                </c:pt>
                <c:pt idx="8">
                  <c:v>Tablet</c:v>
                </c:pt>
                <c:pt idx="9">
                  <c:v>Laptop</c:v>
                </c:pt>
              </c:strCache>
            </c:strRef>
          </c:cat>
          <c:val>
            <c:numRef>
              <c:f>'Total sales by Products'!$B$4:$B$14</c:f>
              <c:numCache>
                <c:formatCode>[$Ksh-441]\ #,##0</c:formatCode>
                <c:ptCount val="10"/>
                <c:pt idx="0">
                  <c:v>3485000</c:v>
                </c:pt>
                <c:pt idx="1">
                  <c:v>5328000</c:v>
                </c:pt>
                <c:pt idx="2">
                  <c:v>10260000</c:v>
                </c:pt>
                <c:pt idx="3">
                  <c:v>10620000</c:v>
                </c:pt>
                <c:pt idx="4">
                  <c:v>14532000</c:v>
                </c:pt>
                <c:pt idx="5">
                  <c:v>15505000</c:v>
                </c:pt>
                <c:pt idx="6">
                  <c:v>16075000</c:v>
                </c:pt>
                <c:pt idx="7">
                  <c:v>18986000</c:v>
                </c:pt>
                <c:pt idx="8">
                  <c:v>27585000</c:v>
                </c:pt>
                <c:pt idx="9">
                  <c:v>49300000</c:v>
                </c:pt>
              </c:numCache>
            </c:numRef>
          </c:val>
          <c:extLst>
            <c:ext xmlns:c16="http://schemas.microsoft.com/office/drawing/2014/chart" uri="{C3380CC4-5D6E-409C-BE32-E72D297353CC}">
              <c16:uniqueId val="{00000000-A110-4B70-B109-036DB5C175DF}"/>
            </c:ext>
          </c:extLst>
        </c:ser>
        <c:dLbls>
          <c:showLegendKey val="0"/>
          <c:showVal val="0"/>
          <c:showCatName val="0"/>
          <c:showSerName val="0"/>
          <c:showPercent val="0"/>
          <c:showBubbleSize val="0"/>
        </c:dLbls>
        <c:gapWidth val="182"/>
        <c:axId val="1041759936"/>
        <c:axId val="1029535456"/>
      </c:barChart>
      <c:catAx>
        <c:axId val="104175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35456"/>
        <c:crosses val="autoZero"/>
        <c:auto val="1"/>
        <c:lblAlgn val="ctr"/>
        <c:lblOffset val="100"/>
        <c:noMultiLvlLbl val="0"/>
      </c:catAx>
      <c:valAx>
        <c:axId val="1029535456"/>
        <c:scaling>
          <c:orientation val="minMax"/>
        </c:scaling>
        <c:delete val="0"/>
        <c:axPos val="b"/>
        <c:majorGridlines>
          <c:spPr>
            <a:ln w="9525" cap="flat" cmpd="sng" algn="ctr">
              <a:solidFill>
                <a:schemeClr val="tx1">
                  <a:lumMod val="15000"/>
                  <a:lumOff val="85000"/>
                </a:schemeClr>
              </a:solidFill>
              <a:round/>
            </a:ln>
            <a:effectLst/>
          </c:spPr>
        </c:majorGridlines>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5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548640</xdr:colOff>
      <xdr:row>0</xdr:row>
      <xdr:rowOff>121920</xdr:rowOff>
    </xdr:from>
    <xdr:to>
      <xdr:col>16</xdr:col>
      <xdr:colOff>243840</xdr:colOff>
      <xdr:row>15</xdr:row>
      <xdr:rowOff>121920</xdr:rowOff>
    </xdr:to>
    <xdr:graphicFrame macro="">
      <xdr:nvGraphicFramePr>
        <xdr:cNvPr id="2" name="Chart 1">
          <a:extLst>
            <a:ext uri="{FF2B5EF4-FFF2-40B4-BE49-F238E27FC236}">
              <a16:creationId xmlns:a16="http://schemas.microsoft.com/office/drawing/2014/main" id="{2240EDF1-982C-69B8-6E80-4C57DD655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373380</xdr:colOff>
      <xdr:row>0</xdr:row>
      <xdr:rowOff>118110</xdr:rowOff>
    </xdr:from>
    <xdr:to>
      <xdr:col>21</xdr:col>
      <xdr:colOff>502920</xdr:colOff>
      <xdr:row>17</xdr:row>
      <xdr:rowOff>137160</xdr:rowOff>
    </xdr:to>
    <xdr:graphicFrame macro="">
      <xdr:nvGraphicFramePr>
        <xdr:cNvPr id="2" name="Chart 1">
          <a:extLst>
            <a:ext uri="{FF2B5EF4-FFF2-40B4-BE49-F238E27FC236}">
              <a16:creationId xmlns:a16="http://schemas.microsoft.com/office/drawing/2014/main" id="{D88363D3-F8F0-425C-6CDD-C2143B5DA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121920</xdr:colOff>
      <xdr:row>3</xdr:row>
      <xdr:rowOff>53340</xdr:rowOff>
    </xdr:from>
    <xdr:to>
      <xdr:col>11</xdr:col>
      <xdr:colOff>121920</xdr:colOff>
      <xdr:row>16</xdr:row>
      <xdr:rowOff>142875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893F66A2-11E0-6E92-E1D0-2B47429FCB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38800" y="601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5</xdr:row>
      <xdr:rowOff>167640</xdr:rowOff>
    </xdr:from>
    <xdr:to>
      <xdr:col>11</xdr:col>
      <xdr:colOff>601980</xdr:colOff>
      <xdr:row>19</xdr:row>
      <xdr:rowOff>74295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3AF186FD-275E-A2E7-3D9B-0DA420FBC3C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118860" y="1082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8</xdr:row>
      <xdr:rowOff>99060</xdr:rowOff>
    </xdr:from>
    <xdr:to>
      <xdr:col>12</xdr:col>
      <xdr:colOff>472440</xdr:colOff>
      <xdr:row>22</xdr:row>
      <xdr:rowOff>5715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957CDAC-7055-AC0C-AB19-55D8D5222C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98920" y="1562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11</xdr:row>
      <xdr:rowOff>30480</xdr:rowOff>
    </xdr:from>
    <xdr:to>
      <xdr:col>13</xdr:col>
      <xdr:colOff>342900</xdr:colOff>
      <xdr:row>24</xdr:row>
      <xdr:rowOff>120015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E5D5745F-7156-408B-D450-8E9B224C75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78980" y="2042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0</xdr:rowOff>
    </xdr:from>
    <xdr:to>
      <xdr:col>16</xdr:col>
      <xdr:colOff>502920</xdr:colOff>
      <xdr:row>17</xdr:row>
      <xdr:rowOff>45720</xdr:rowOff>
    </xdr:to>
    <xdr:graphicFrame macro="">
      <xdr:nvGraphicFramePr>
        <xdr:cNvPr id="2" name="Chart 1">
          <a:extLst>
            <a:ext uri="{FF2B5EF4-FFF2-40B4-BE49-F238E27FC236}">
              <a16:creationId xmlns:a16="http://schemas.microsoft.com/office/drawing/2014/main" id="{F8EF40BB-5A39-D3BD-90F0-AE8CB6F67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22860</xdr:colOff>
      <xdr:row>0</xdr:row>
      <xdr:rowOff>0</xdr:rowOff>
    </xdr:from>
    <xdr:to>
      <xdr:col>17</xdr:col>
      <xdr:colOff>53340</xdr:colOff>
      <xdr:row>17</xdr:row>
      <xdr:rowOff>121920</xdr:rowOff>
    </xdr:to>
    <xdr:graphicFrame macro="">
      <xdr:nvGraphicFramePr>
        <xdr:cNvPr id="3" name="Chart 2">
          <a:extLst>
            <a:ext uri="{FF2B5EF4-FFF2-40B4-BE49-F238E27FC236}">
              <a16:creationId xmlns:a16="http://schemas.microsoft.com/office/drawing/2014/main" id="{13FB7A78-9F0C-6196-2DDC-998612C82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571500</xdr:colOff>
      <xdr:row>0</xdr:row>
      <xdr:rowOff>0</xdr:rowOff>
    </xdr:from>
    <xdr:to>
      <xdr:col>21</xdr:col>
      <xdr:colOff>289560</xdr:colOff>
      <xdr:row>22</xdr:row>
      <xdr:rowOff>144780</xdr:rowOff>
    </xdr:to>
    <xdr:graphicFrame macro="">
      <xdr:nvGraphicFramePr>
        <xdr:cNvPr id="2" name="Chart 1">
          <a:extLst>
            <a:ext uri="{FF2B5EF4-FFF2-40B4-BE49-F238E27FC236}">
              <a16:creationId xmlns:a16="http://schemas.microsoft.com/office/drawing/2014/main" id="{A84195EC-9113-7659-FDCA-FDF549123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548640</xdr:colOff>
      <xdr:row>1</xdr:row>
      <xdr:rowOff>175260</xdr:rowOff>
    </xdr:from>
    <xdr:to>
      <xdr:col>3</xdr:col>
      <xdr:colOff>335280</xdr:colOff>
      <xdr:row>5</xdr:row>
      <xdr:rowOff>175260</xdr:rowOff>
    </xdr:to>
    <xdr:sp macro="" textlink="Calculations!B2">
      <xdr:nvSpPr>
        <xdr:cNvPr id="2" name="Rectangle: Rounded Corners 1">
          <a:extLst>
            <a:ext uri="{FF2B5EF4-FFF2-40B4-BE49-F238E27FC236}">
              <a16:creationId xmlns:a16="http://schemas.microsoft.com/office/drawing/2014/main" id="{1AB8A9C3-AECD-059E-635C-8F333F265442}"/>
            </a:ext>
          </a:extLst>
        </xdr:cNvPr>
        <xdr:cNvSpPr/>
      </xdr:nvSpPr>
      <xdr:spPr>
        <a:xfrm>
          <a:off x="548640" y="358140"/>
          <a:ext cx="2286000" cy="7315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TOTAL SALES</a:t>
          </a:r>
        </a:p>
        <a:p>
          <a:pPr algn="l"/>
          <a:r>
            <a:rPr lang="en-US" sz="1100" b="0" i="0" u="none" strike="noStrike">
              <a:solidFill>
                <a:srgbClr val="000000"/>
              </a:solidFill>
              <a:latin typeface="Calibri"/>
              <a:cs typeface="Calibri"/>
            </a:rPr>
            <a:t>            </a:t>
          </a:r>
          <a:fld id="{71119447-9ABD-4E9D-829C-23626AE192C9}" type="TxLink">
            <a:rPr lang="en-US" sz="1100" b="0" i="0" u="none" strike="noStrike">
              <a:solidFill>
                <a:srgbClr val="000000"/>
              </a:solidFill>
              <a:latin typeface="Calibri"/>
              <a:cs typeface="Calibri"/>
            </a:rPr>
            <a:pPr algn="l"/>
            <a:t>Ksh 175,692,300.00</a:t>
          </a:fld>
          <a:endParaRPr lang="en-US" sz="1200" baseline="0">
            <a:solidFill>
              <a:schemeClr val="bg1"/>
            </a:solidFill>
          </a:endParaRPr>
        </a:p>
      </xdr:txBody>
    </xdr:sp>
    <xdr:clientData/>
  </xdr:twoCellAnchor>
  <xdr:twoCellAnchor>
    <xdr:from>
      <xdr:col>4</xdr:col>
      <xdr:colOff>259080</xdr:colOff>
      <xdr:row>1</xdr:row>
      <xdr:rowOff>167640</xdr:rowOff>
    </xdr:from>
    <xdr:to>
      <xdr:col>8</xdr:col>
      <xdr:colOff>22860</xdr:colOff>
      <xdr:row>6</xdr:row>
      <xdr:rowOff>7620</xdr:rowOff>
    </xdr:to>
    <xdr:sp macro="" textlink="Calculations!B3">
      <xdr:nvSpPr>
        <xdr:cNvPr id="5" name="Rectangle: Rounded Corners 4">
          <a:extLst>
            <a:ext uri="{FF2B5EF4-FFF2-40B4-BE49-F238E27FC236}">
              <a16:creationId xmlns:a16="http://schemas.microsoft.com/office/drawing/2014/main" id="{21ABB2E6-0F5C-424F-9EB9-8FD2891743FE}"/>
            </a:ext>
          </a:extLst>
        </xdr:cNvPr>
        <xdr:cNvSpPr/>
      </xdr:nvSpPr>
      <xdr:spPr>
        <a:xfrm>
          <a:off x="3368040" y="350520"/>
          <a:ext cx="2202180" cy="75438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TOTAL</a:t>
          </a:r>
          <a:r>
            <a:rPr lang="en-US" sz="1100" b="0" i="0" u="none" strike="noStrike" baseline="0">
              <a:solidFill>
                <a:srgbClr val="000000"/>
              </a:solidFill>
              <a:latin typeface="Calibri"/>
              <a:cs typeface="Calibri"/>
            </a:rPr>
            <a:t> PROFITS</a:t>
          </a:r>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fld id="{B44EC1DE-94E9-4B6B-A749-CFB9BF66BAC2}" type="TxLink">
            <a:rPr lang="en-US" sz="1100" b="0" i="0" u="none" strike="noStrike">
              <a:solidFill>
                <a:srgbClr val="000000"/>
              </a:solidFill>
              <a:latin typeface="Calibri"/>
              <a:cs typeface="Calibri"/>
            </a:rPr>
            <a:pPr algn="l"/>
            <a:t>Ksh 39,048,764.00</a:t>
          </a:fld>
          <a:endParaRPr lang="en-US" sz="1200" baseline="0">
            <a:solidFill>
              <a:schemeClr val="bg1"/>
            </a:solidFill>
          </a:endParaRPr>
        </a:p>
      </xdr:txBody>
    </xdr:sp>
    <xdr:clientData/>
  </xdr:twoCellAnchor>
  <xdr:twoCellAnchor>
    <xdr:from>
      <xdr:col>9</xdr:col>
      <xdr:colOff>167640</xdr:colOff>
      <xdr:row>1</xdr:row>
      <xdr:rowOff>129540</xdr:rowOff>
    </xdr:from>
    <xdr:to>
      <xdr:col>13</xdr:col>
      <xdr:colOff>15240</xdr:colOff>
      <xdr:row>5</xdr:row>
      <xdr:rowOff>152400</xdr:rowOff>
    </xdr:to>
    <xdr:sp macro="" textlink="Calculations!B4">
      <xdr:nvSpPr>
        <xdr:cNvPr id="6" name="Rectangle: Rounded Corners 5">
          <a:extLst>
            <a:ext uri="{FF2B5EF4-FFF2-40B4-BE49-F238E27FC236}">
              <a16:creationId xmlns:a16="http://schemas.microsoft.com/office/drawing/2014/main" id="{38112BE6-2D1B-4D55-9EA8-67A2323DF967}"/>
            </a:ext>
          </a:extLst>
        </xdr:cNvPr>
        <xdr:cNvSpPr/>
      </xdr:nvSpPr>
      <xdr:spPr>
        <a:xfrm>
          <a:off x="6324600" y="312420"/>
          <a:ext cx="2286000" cy="75438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TOTAL ORDERS</a:t>
          </a:r>
        </a:p>
        <a:p>
          <a:pPr algn="l"/>
          <a:r>
            <a:rPr lang="en-US" sz="1100" b="0" i="0" u="none" strike="noStrike">
              <a:solidFill>
                <a:srgbClr val="000000"/>
              </a:solidFill>
              <a:latin typeface="Calibri"/>
              <a:cs typeface="Calibri"/>
            </a:rPr>
            <a:t>                1,000</a:t>
          </a:r>
          <a:endParaRPr lang="en-US" sz="1200" baseline="0">
            <a:solidFill>
              <a:schemeClr val="bg1"/>
            </a:solidFill>
          </a:endParaRPr>
        </a:p>
      </xdr:txBody>
    </xdr:sp>
    <xdr:clientData/>
  </xdr:twoCellAnchor>
  <xdr:twoCellAnchor>
    <xdr:from>
      <xdr:col>13</xdr:col>
      <xdr:colOff>579120</xdr:colOff>
      <xdr:row>1</xdr:row>
      <xdr:rowOff>137160</xdr:rowOff>
    </xdr:from>
    <xdr:to>
      <xdr:col>17</xdr:col>
      <xdr:colOff>449580</xdr:colOff>
      <xdr:row>5</xdr:row>
      <xdr:rowOff>160020</xdr:rowOff>
    </xdr:to>
    <xdr:sp macro="" textlink="Calculations!B5">
      <xdr:nvSpPr>
        <xdr:cNvPr id="8" name="Rectangle: Rounded Corners 7">
          <a:extLst>
            <a:ext uri="{FF2B5EF4-FFF2-40B4-BE49-F238E27FC236}">
              <a16:creationId xmlns:a16="http://schemas.microsoft.com/office/drawing/2014/main" id="{7FA6F0A7-8B9B-4F8C-BB70-BDD9C60152A3}"/>
            </a:ext>
          </a:extLst>
        </xdr:cNvPr>
        <xdr:cNvSpPr/>
      </xdr:nvSpPr>
      <xdr:spPr>
        <a:xfrm>
          <a:off x="9174480" y="320040"/>
          <a:ext cx="2308860" cy="75438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AVERAGE ORDER</a:t>
          </a:r>
          <a:r>
            <a:rPr lang="en-US" sz="1100" b="0" i="0" u="none" strike="noStrike" baseline="0">
              <a:solidFill>
                <a:srgbClr val="000000"/>
              </a:solidFill>
              <a:latin typeface="Calibri"/>
              <a:cs typeface="Calibri"/>
            </a:rPr>
            <a:t> VALUE</a:t>
          </a:r>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fld id="{4D7A6963-1980-4FC2-95C4-32560DFB9971}" type="TxLink">
            <a:rPr lang="en-US" sz="1100" b="0" i="0" u="none" strike="noStrike">
              <a:solidFill>
                <a:srgbClr val="000000"/>
              </a:solidFill>
              <a:latin typeface="Calibri"/>
              <a:cs typeface="Calibri"/>
            </a:rPr>
            <a:pPr algn="l"/>
            <a:t>Ksh 175,692.30</a:t>
          </a:fld>
          <a:endParaRPr lang="en-US" sz="1200" baseline="0">
            <a:solidFill>
              <a:schemeClr val="bg1"/>
            </a:solidFill>
          </a:endParaRPr>
        </a:p>
      </xdr:txBody>
    </xdr:sp>
    <xdr:clientData/>
  </xdr:twoCellAnchor>
  <xdr:twoCellAnchor editAs="oneCell">
    <xdr:from>
      <xdr:col>0</xdr:col>
      <xdr:colOff>655320</xdr:colOff>
      <xdr:row>3</xdr:row>
      <xdr:rowOff>134862</xdr:rowOff>
    </xdr:from>
    <xdr:to>
      <xdr:col>0</xdr:col>
      <xdr:colOff>1059180</xdr:colOff>
      <xdr:row>4</xdr:row>
      <xdr:rowOff>91440</xdr:rowOff>
    </xdr:to>
    <xdr:pic>
      <xdr:nvPicPr>
        <xdr:cNvPr id="10" name="Graphic 9" descr="Money with solid fill">
          <a:extLst>
            <a:ext uri="{FF2B5EF4-FFF2-40B4-BE49-F238E27FC236}">
              <a16:creationId xmlns:a16="http://schemas.microsoft.com/office/drawing/2014/main" id="{9D8049B7-9AFF-97D6-59B7-FFA61ECF91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5320" y="683502"/>
          <a:ext cx="403860" cy="139458"/>
        </a:xfrm>
        <a:prstGeom prst="rect">
          <a:avLst/>
        </a:prstGeom>
      </xdr:spPr>
    </xdr:pic>
    <xdr:clientData/>
  </xdr:twoCellAnchor>
  <xdr:twoCellAnchor editAs="oneCell">
    <xdr:from>
      <xdr:col>4</xdr:col>
      <xdr:colOff>274320</xdr:colOff>
      <xdr:row>3</xdr:row>
      <xdr:rowOff>99060</xdr:rowOff>
    </xdr:from>
    <xdr:to>
      <xdr:col>5</xdr:col>
      <xdr:colOff>76200</xdr:colOff>
      <xdr:row>4</xdr:row>
      <xdr:rowOff>129540</xdr:rowOff>
    </xdr:to>
    <xdr:pic>
      <xdr:nvPicPr>
        <xdr:cNvPr id="12" name="Graphic 11" descr="Upward trend with solid fill">
          <a:extLst>
            <a:ext uri="{FF2B5EF4-FFF2-40B4-BE49-F238E27FC236}">
              <a16:creationId xmlns:a16="http://schemas.microsoft.com/office/drawing/2014/main" id="{6BD96B94-A77E-88D4-6929-97DEBC0B2F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83280" y="647700"/>
          <a:ext cx="411480" cy="213360"/>
        </a:xfrm>
        <a:prstGeom prst="rect">
          <a:avLst/>
        </a:prstGeom>
      </xdr:spPr>
    </xdr:pic>
    <xdr:clientData/>
  </xdr:twoCellAnchor>
  <xdr:twoCellAnchor editAs="oneCell">
    <xdr:from>
      <xdr:col>9</xdr:col>
      <xdr:colOff>411480</xdr:colOff>
      <xdr:row>3</xdr:row>
      <xdr:rowOff>144780</xdr:rowOff>
    </xdr:from>
    <xdr:to>
      <xdr:col>10</xdr:col>
      <xdr:colOff>33528</xdr:colOff>
      <xdr:row>4</xdr:row>
      <xdr:rowOff>106680</xdr:rowOff>
    </xdr:to>
    <xdr:pic>
      <xdr:nvPicPr>
        <xdr:cNvPr id="14" name="Graphic 13" descr="Shopping cart with solid fill">
          <a:extLst>
            <a:ext uri="{FF2B5EF4-FFF2-40B4-BE49-F238E27FC236}">
              <a16:creationId xmlns:a16="http://schemas.microsoft.com/office/drawing/2014/main" id="{B5E50B9C-FDF1-90EA-A255-BF0F08958B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68440" y="693420"/>
          <a:ext cx="231648" cy="144780"/>
        </a:xfrm>
        <a:prstGeom prst="rect">
          <a:avLst/>
        </a:prstGeom>
      </xdr:spPr>
    </xdr:pic>
    <xdr:clientData/>
  </xdr:twoCellAnchor>
  <xdr:twoCellAnchor editAs="oneCell">
    <xdr:from>
      <xdr:col>14</xdr:col>
      <xdr:colOff>15240</xdr:colOff>
      <xdr:row>3</xdr:row>
      <xdr:rowOff>121920</xdr:rowOff>
    </xdr:from>
    <xdr:to>
      <xdr:col>14</xdr:col>
      <xdr:colOff>426720</xdr:colOff>
      <xdr:row>4</xdr:row>
      <xdr:rowOff>99060</xdr:rowOff>
    </xdr:to>
    <xdr:pic>
      <xdr:nvPicPr>
        <xdr:cNvPr id="16" name="Graphic 15" descr="Hourglass Finished with solid fill">
          <a:extLst>
            <a:ext uri="{FF2B5EF4-FFF2-40B4-BE49-F238E27FC236}">
              <a16:creationId xmlns:a16="http://schemas.microsoft.com/office/drawing/2014/main" id="{B875B7ED-D2B1-5ECA-809A-B1F691AFC5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20200" y="670560"/>
          <a:ext cx="411480" cy="160020"/>
        </a:xfrm>
        <a:prstGeom prst="rect">
          <a:avLst/>
        </a:prstGeom>
      </xdr:spPr>
    </xdr:pic>
    <xdr:clientData/>
  </xdr:twoCellAnchor>
  <xdr:twoCellAnchor>
    <xdr:from>
      <xdr:col>0</xdr:col>
      <xdr:colOff>0</xdr:colOff>
      <xdr:row>7</xdr:row>
      <xdr:rowOff>45720</xdr:rowOff>
    </xdr:from>
    <xdr:to>
      <xdr:col>7</xdr:col>
      <xdr:colOff>327660</xdr:colOff>
      <xdr:row>16</xdr:row>
      <xdr:rowOff>131717</xdr:rowOff>
    </xdr:to>
    <xdr:graphicFrame macro="">
      <xdr:nvGraphicFramePr>
        <xdr:cNvPr id="17" name="Chart 16">
          <a:extLst>
            <a:ext uri="{FF2B5EF4-FFF2-40B4-BE49-F238E27FC236}">
              <a16:creationId xmlns:a16="http://schemas.microsoft.com/office/drawing/2014/main" id="{04519F65-5158-4D7B-8163-1B610328A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322218</xdr:colOff>
      <xdr:row>8</xdr:row>
      <xdr:rowOff>21773</xdr:rowOff>
    </xdr:from>
    <xdr:to>
      <xdr:col>17</xdr:col>
      <xdr:colOff>207918</xdr:colOff>
      <xdr:row>16</xdr:row>
      <xdr:rowOff>130630</xdr:rowOff>
    </xdr:to>
    <xdr:graphicFrame macro="">
      <xdr:nvGraphicFramePr>
        <xdr:cNvPr id="19" name="Chart 18">
          <a:extLst>
            <a:ext uri="{FF2B5EF4-FFF2-40B4-BE49-F238E27FC236}">
              <a16:creationId xmlns:a16="http://schemas.microsoft.com/office/drawing/2014/main" id="{741BCFF0-826E-47F7-8C4A-C84CEDA68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16</xdr:row>
      <xdr:rowOff>137160</xdr:rowOff>
    </xdr:from>
    <xdr:to>
      <xdr:col>8</xdr:col>
      <xdr:colOff>22860</xdr:colOff>
      <xdr:row>27</xdr:row>
      <xdr:rowOff>91440</xdr:rowOff>
    </xdr:to>
    <xdr:graphicFrame macro="">
      <xdr:nvGraphicFramePr>
        <xdr:cNvPr id="20" name="Chart 19">
          <a:extLst>
            <a:ext uri="{FF2B5EF4-FFF2-40B4-BE49-F238E27FC236}">
              <a16:creationId xmlns:a16="http://schemas.microsoft.com/office/drawing/2014/main" id="{D97C8E9B-C95F-46B8-B145-2EC51C05A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60960</xdr:colOff>
      <xdr:row>27</xdr:row>
      <xdr:rowOff>114300</xdr:rowOff>
    </xdr:from>
    <xdr:to>
      <xdr:col>7</xdr:col>
      <xdr:colOff>586740</xdr:colOff>
      <xdr:row>36</xdr:row>
      <xdr:rowOff>160020</xdr:rowOff>
    </xdr:to>
    <xdr:graphicFrame macro="">
      <xdr:nvGraphicFramePr>
        <xdr:cNvPr id="23" name="Chart 22">
          <a:extLst>
            <a:ext uri="{FF2B5EF4-FFF2-40B4-BE49-F238E27FC236}">
              <a16:creationId xmlns:a16="http://schemas.microsoft.com/office/drawing/2014/main" id="{65169FBE-D1A4-46F5-B3FA-BCA67437D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7620</xdr:colOff>
      <xdr:row>26</xdr:row>
      <xdr:rowOff>160020</xdr:rowOff>
    </xdr:from>
    <xdr:to>
      <xdr:col>17</xdr:col>
      <xdr:colOff>358140</xdr:colOff>
      <xdr:row>36</xdr:row>
      <xdr:rowOff>83820</xdr:rowOff>
    </xdr:to>
    <xdr:graphicFrame macro="">
      <xdr:nvGraphicFramePr>
        <xdr:cNvPr id="25" name="Chart 24">
          <a:extLst>
            <a:ext uri="{FF2B5EF4-FFF2-40B4-BE49-F238E27FC236}">
              <a16:creationId xmlns:a16="http://schemas.microsoft.com/office/drawing/2014/main" id="{8F29E346-76A9-490E-937F-26F24807C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17</xdr:col>
      <xdr:colOff>502920</xdr:colOff>
      <xdr:row>0</xdr:row>
      <xdr:rowOff>22861</xdr:rowOff>
    </xdr:from>
    <xdr:to>
      <xdr:col>19</xdr:col>
      <xdr:colOff>495300</xdr:colOff>
      <xdr:row>3</xdr:row>
      <xdr:rowOff>175260</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a16="http://schemas.microsoft.com/office/drawing/2014/main" id="{120059FE-AEAC-4E3F-9024-4AFF192B8C4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541034" y="22861"/>
              <a:ext cx="1211580" cy="707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510540</xdr:colOff>
      <xdr:row>3</xdr:row>
      <xdr:rowOff>175261</xdr:rowOff>
    </xdr:from>
    <xdr:to>
      <xdr:col>19</xdr:col>
      <xdr:colOff>502920</xdr:colOff>
      <xdr:row>8</xdr:row>
      <xdr:rowOff>53340</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33443012-250B-4FE9-B922-A97F207376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48654" y="730432"/>
              <a:ext cx="1211580" cy="803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518160</xdr:colOff>
      <xdr:row>8</xdr:row>
      <xdr:rowOff>60961</xdr:rowOff>
    </xdr:from>
    <xdr:to>
      <xdr:col>19</xdr:col>
      <xdr:colOff>510540</xdr:colOff>
      <xdr:row>12</xdr:row>
      <xdr:rowOff>60960</xdr:rowOff>
    </xdr:to>
    <mc:AlternateContent xmlns:mc="http://schemas.openxmlformats.org/markup-compatibility/2006">
      <mc:Choice xmlns:a14="http://schemas.microsoft.com/office/drawing/2010/main" Requires="a14">
        <xdr:graphicFrame macro="">
          <xdr:nvGraphicFramePr>
            <xdr:cNvPr id="28" name="Salesperson 1">
              <a:extLst>
                <a:ext uri="{FF2B5EF4-FFF2-40B4-BE49-F238E27FC236}">
                  <a16:creationId xmlns:a16="http://schemas.microsoft.com/office/drawing/2014/main" id="{BDC7C0ED-4E64-44BB-8B40-6318F9D112CC}"/>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1556274" y="1541418"/>
              <a:ext cx="1211580" cy="740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518160</xdr:colOff>
      <xdr:row>12</xdr:row>
      <xdr:rowOff>60961</xdr:rowOff>
    </xdr:from>
    <xdr:to>
      <xdr:col>19</xdr:col>
      <xdr:colOff>502920</xdr:colOff>
      <xdr:row>16</xdr:row>
      <xdr:rowOff>167640</xdr:rowOff>
    </xdr:to>
    <mc:AlternateContent xmlns:mc="http://schemas.openxmlformats.org/markup-compatibility/2006">
      <mc:Choice xmlns:a14="http://schemas.microsoft.com/office/drawing/2010/main" Requires="a14">
        <xdr:graphicFrame macro="">
          <xdr:nvGraphicFramePr>
            <xdr:cNvPr id="30" name="Month 1">
              <a:extLst>
                <a:ext uri="{FF2B5EF4-FFF2-40B4-BE49-F238E27FC236}">
                  <a16:creationId xmlns:a16="http://schemas.microsoft.com/office/drawing/2014/main" id="{5EAD2A27-8C65-4D8C-BC46-E5213FAF0D4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556274" y="2281647"/>
              <a:ext cx="1203960" cy="846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xdr:colOff>
      <xdr:row>16</xdr:row>
      <xdr:rowOff>160020</xdr:rowOff>
    </xdr:from>
    <xdr:to>
      <xdr:col>16</xdr:col>
      <xdr:colOff>365760</xdr:colOff>
      <xdr:row>25</xdr:row>
      <xdr:rowOff>152400</xdr:rowOff>
    </xdr:to>
    <xdr:graphicFrame macro="">
      <xdr:nvGraphicFramePr>
        <xdr:cNvPr id="4" name="Chart 3">
          <a:extLst>
            <a:ext uri="{FF2B5EF4-FFF2-40B4-BE49-F238E27FC236}">
              <a16:creationId xmlns:a16="http://schemas.microsoft.com/office/drawing/2014/main" id="{6852BD51-6B3F-413E-A6BA-5116B00FF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441960</xdr:colOff>
      <xdr:row>17</xdr:row>
      <xdr:rowOff>114300</xdr:rowOff>
    </xdr:from>
    <xdr:to>
      <xdr:col>23</xdr:col>
      <xdr:colOff>38100</xdr:colOff>
      <xdr:row>25</xdr:row>
      <xdr:rowOff>60960</xdr:rowOff>
    </xdr:to>
    <xdr:sp macro="" textlink="">
      <xdr:nvSpPr>
        <xdr:cNvPr id="7" name="Rectangle: Rounded Corners 6">
          <a:extLst>
            <a:ext uri="{FF2B5EF4-FFF2-40B4-BE49-F238E27FC236}">
              <a16:creationId xmlns:a16="http://schemas.microsoft.com/office/drawing/2014/main" id="{3A23C34C-8F0A-727F-7F23-A9E3A4BBDF47}"/>
            </a:ext>
          </a:extLst>
        </xdr:cNvPr>
        <xdr:cNvSpPr/>
      </xdr:nvSpPr>
      <xdr:spPr>
        <a:xfrm>
          <a:off x="10866120" y="3223260"/>
          <a:ext cx="3863340" cy="14097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t>Key Insights</a:t>
          </a:r>
        </a:p>
        <a:p>
          <a:pPr algn="l"/>
          <a:r>
            <a:rPr lang="en-US" sz="1000" b="1"/>
            <a:t>• Nakuru recorded the highest total sales and profit.</a:t>
          </a:r>
          <a:br>
            <a:rPr lang="en-US" sz="1000"/>
          </a:br>
          <a:r>
            <a:rPr lang="en-US" sz="1000" b="1"/>
            <a:t>• Electronics generated the largest share of revenue.</a:t>
          </a:r>
          <a:br>
            <a:rPr lang="en-US" sz="1000"/>
          </a:br>
          <a:r>
            <a:rPr lang="en-US" sz="1000" b="1"/>
            <a:t>• Laptops were the top-performing product.</a:t>
          </a:r>
          <a:br>
            <a:rPr lang="en-US" sz="1000"/>
          </a:br>
          <a:r>
            <a:rPr lang="en-US" sz="1000" b="1"/>
            <a:t>• March showed the strongest monthly sales performance.</a:t>
          </a:r>
          <a:br>
            <a:rPr lang="en-US" sz="1000"/>
          </a:br>
          <a:r>
            <a:rPr lang="en-US" sz="1000" b="1"/>
            <a:t>• Mombasa recorded the lowest profit, indicating an opportunity for growth.</a:t>
          </a:r>
          <a:endParaRPr lang="en-US"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190500</xdr:colOff>
      <xdr:row>0</xdr:row>
      <xdr:rowOff>0</xdr:rowOff>
    </xdr:from>
    <xdr:to>
      <xdr:col>23</xdr:col>
      <xdr:colOff>312420</xdr:colOff>
      <xdr:row>20</xdr:row>
      <xdr:rowOff>110490</xdr:rowOff>
    </xdr:to>
    <xdr:graphicFrame macro="">
      <xdr:nvGraphicFramePr>
        <xdr:cNvPr id="2" name="Chart 1">
          <a:extLst>
            <a:ext uri="{FF2B5EF4-FFF2-40B4-BE49-F238E27FC236}">
              <a16:creationId xmlns:a16="http://schemas.microsoft.com/office/drawing/2014/main" id="{7E17601D-7B84-AAA9-AEA0-1C726B31F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9"/>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2.513236921295" createdVersion="8" refreshedVersion="8" minRefreshableVersion="3" recordCount="1000" xr:uid="{21BDC983-1F71-4DAC-8F8E-9808A6E38632}">
  <cacheSource type="worksheet">
    <worksheetSource name="SalesData"/>
  </cacheSource>
  <cacheFields count="12">
    <cacheField name="Order ID" numFmtId="0">
      <sharedItems/>
    </cacheField>
    <cacheField name="Date" numFmtId="164">
      <sharedItems containsSemiMixedTypes="0" containsNonDate="0" containsDate="1" containsString="0" minDate="2025-01-01T00:00:00" maxDate="2026-01-01T00:00:00"/>
    </cacheField>
    <cacheField name="Month" numFmtId="0">
      <sharedItems count="12">
        <s v="Sep"/>
        <s v="Dec"/>
        <s v="Jan"/>
        <s v="Nov"/>
        <s v="Oct"/>
        <s v="Jun"/>
        <s v="May"/>
        <s v="Feb"/>
        <s v="Aug"/>
        <s v="Apr"/>
        <s v="Mar"/>
        <s v="Jul"/>
      </sharedItems>
    </cacheField>
    <cacheField name="Salesperson" numFmtId="0">
      <sharedItems count="10">
        <s v="Faith"/>
        <s v="Grace"/>
        <s v="Brian"/>
        <s v="Daniel"/>
        <s v="Mary"/>
        <s v="James"/>
        <s v="Mercy"/>
        <s v="John"/>
        <s v="Alice"/>
        <s v="Kevin"/>
      </sharedItems>
    </cacheField>
    <cacheField name="Region" numFmtId="0">
      <sharedItems count="5">
        <s v="Nairobi"/>
        <s v="Kisumu"/>
        <s v="Eldoret"/>
        <s v="Mombasa"/>
        <s v="Nakuru"/>
      </sharedItems>
    </cacheField>
    <cacheField name="Category" numFmtId="0">
      <sharedItems count="3">
        <s v="Office Supplies"/>
        <s v="Furniture"/>
        <s v="Electronics"/>
      </sharedItems>
    </cacheField>
    <cacheField name="Product" numFmtId="0">
      <sharedItems count="17">
        <s v="Files"/>
        <s v="Bookshelf"/>
        <s v="Tablet"/>
        <s v="Pens"/>
        <s v="Chair"/>
        <s v="Printer"/>
        <s v="Phone"/>
        <s v="Cabinet"/>
        <s v="Notebook"/>
        <s v="Office Table"/>
        <s v="Keyboard"/>
        <s v="Desk"/>
        <s v="Paper"/>
        <s v="Stapler"/>
        <s v="Monitor"/>
        <s v="Laptop"/>
        <s v="Mouse"/>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50" maxValue="85000"/>
    </cacheField>
    <cacheField name="Sales" numFmtId="0">
      <sharedItems containsSemiMixedTypes="0" containsString="0" containsNumber="1" containsInteger="1" minValue="150" maxValue="1700000" count="221">
        <n v="600"/>
        <n v="180000"/>
        <n v="810000"/>
        <n v="765000"/>
        <n v="450"/>
        <n v="90000"/>
        <n v="425000"/>
        <n v="2700"/>
        <n v="100000"/>
        <n v="280000"/>
        <n v="288000"/>
        <n v="50000"/>
        <n v="375000"/>
        <n v="1000"/>
        <n v="144000"/>
        <n v="330000"/>
        <n v="2100"/>
        <n v="1750"/>
        <n v="35000"/>
        <n v="24000"/>
        <n v="10000"/>
        <n v="16000"/>
        <n v="252000"/>
        <n v="80000"/>
        <n v="352000"/>
        <n v="2250"/>
        <n v="324000"/>
        <n v="7200"/>
        <n v="45000"/>
        <n v="1200"/>
        <n v="420000"/>
        <n v="325000"/>
        <n v="2400"/>
        <n v="12500"/>
        <n v="360000"/>
        <n v="5400"/>
        <n v="5700"/>
        <n v="308000"/>
        <n v="150000"/>
        <n v="1050"/>
        <n v="150"/>
        <n v="13600"/>
        <n v="1020000"/>
        <n v="475000"/>
        <n v="396000"/>
        <n v="36000"/>
        <n v="75000"/>
        <n v="450000"/>
        <n v="270000"/>
        <n v="8000"/>
        <n v="4800"/>
        <n v="4500"/>
        <n v="504000"/>
        <n v="800"/>
        <n v="168000"/>
        <n v="22500"/>
        <n v="12000"/>
        <n v="364000"/>
        <n v="3200"/>
        <n v="1190000"/>
        <n v="210000"/>
        <n v="7500"/>
        <n v="255000"/>
        <n v="6400"/>
        <n v="300000"/>
        <n v="306000"/>
        <n v="440000"/>
        <n v="2000"/>
        <n v="3000"/>
        <n v="1275000"/>
        <n v="140000"/>
        <n v="448000"/>
        <n v="10400"/>
        <n v="21000"/>
        <n v="1615000"/>
        <n v="108000"/>
        <n v="18000"/>
        <n v="665000"/>
        <n v="2550"/>
        <n v="162000"/>
        <n v="4750"/>
        <n v="1800"/>
        <n v="40000"/>
        <n v="47500"/>
        <n v="60000"/>
        <n v="198000"/>
        <n v="418000"/>
        <n v="495000"/>
        <n v="342000"/>
        <n v="5100"/>
        <n v="234000"/>
        <n v="16800"/>
        <n v="1500"/>
        <n v="175000"/>
        <n v="196000"/>
        <n v="476000"/>
        <n v="200000"/>
        <n v="1700000"/>
        <n v="96000"/>
        <n v="3300"/>
        <n v="2500"/>
        <n v="84000"/>
        <n v="340000"/>
        <n v="4000"/>
        <n v="8800"/>
        <n v="110000"/>
        <n v="3750"/>
        <n v="10500"/>
        <n v="286000"/>
        <n v="3600"/>
        <n v="935000"/>
        <n v="1600"/>
        <n v="675000"/>
        <n v="525000"/>
        <n v="19200"/>
        <n v="720000"/>
        <n v="1445000"/>
        <n v="37500"/>
        <n v="85000"/>
        <n v="585000"/>
        <n v="54000"/>
        <n v="15000"/>
        <n v="250000"/>
        <n v="3900"/>
        <n v="264000"/>
        <n v="8400"/>
        <n v="490000"/>
        <n v="19500"/>
        <n v="30000"/>
        <n v="1350"/>
        <n v="44000"/>
        <n v="66000"/>
        <n v="72000"/>
        <n v="336000"/>
        <n v="14400"/>
        <n v="13200"/>
        <n v="680000"/>
        <n v="28500"/>
        <n v="595000"/>
        <n v="126000"/>
        <n v="285000"/>
        <n v="6000"/>
        <n v="3500"/>
        <n v="750"/>
        <n v="20000"/>
        <n v="300"/>
        <n v="216000"/>
        <n v="540000"/>
        <n v="70000"/>
        <n v="385000"/>
        <n v="42500"/>
        <n v="22000"/>
        <n v="2850"/>
        <n v="105000"/>
        <n v="315000"/>
        <n v="120000"/>
        <n v="374000"/>
        <n v="21600"/>
        <n v="32500"/>
        <n v="1360000"/>
        <n v="405000"/>
        <n v="220000"/>
        <n v="5000"/>
        <n v="532000"/>
        <n v="900"/>
        <n v="850000"/>
        <n v="9600"/>
        <n v="250"/>
        <n v="135000"/>
        <n v="400000"/>
        <n v="195000"/>
        <n v="15600"/>
        <n v="2750"/>
        <n v="132000"/>
        <n v="225000"/>
        <n v="500"/>
        <n v="176000"/>
        <n v="55000"/>
        <n v="4250"/>
        <n v="224000"/>
        <n v="88000"/>
        <n v="228000"/>
        <n v="154000"/>
        <n v="242000"/>
        <n v="510000"/>
        <n v="350000"/>
        <n v="16500"/>
        <n v="13500"/>
        <n v="392000"/>
        <n v="65000"/>
        <n v="25000"/>
        <n v="1950"/>
        <n v="165000"/>
        <n v="630000"/>
        <n v="1105000"/>
        <n v="12800"/>
        <n v="170000"/>
        <n v="9000"/>
        <n v="95000"/>
        <n v="240000"/>
        <n v="855000"/>
        <n v="275000"/>
        <n v="192000"/>
        <n v="1530000"/>
        <n v="204000"/>
        <n v="500000"/>
        <n v="5600"/>
        <n v="25500"/>
        <n v="20400"/>
        <n v="455000"/>
        <n v="10800"/>
        <n v="11200"/>
        <n v="1250"/>
        <n v="900000"/>
        <n v="560000"/>
        <n v="27500"/>
        <n v="4200"/>
        <n v="17500"/>
        <n v="112000"/>
        <n v="15200"/>
        <n v="28000"/>
      </sharedItems>
    </cacheField>
    <cacheField name="Cost" numFmtId="0">
      <sharedItems containsSemiMixedTypes="0" containsString="0" containsNumber="1" minValue="106.5" maxValue="1360000"/>
    </cacheField>
    <cacheField name="Profit" numFmtId="0">
      <sharedItems containsSemiMixedTypes="0" containsString="0" containsNumber="1" minValue="28.499999999999986" maxValue="468350"/>
    </cacheField>
  </cacheFields>
  <extLst>
    <ext xmlns:x14="http://schemas.microsoft.com/office/spreadsheetml/2009/9/main" uri="{725AE2AE-9491-48be-B2B4-4EB974FC3084}">
      <x14:pivotCacheDefinition pivotCacheId="1354468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5-09-12T00:00:00"/>
    <x v="0"/>
    <x v="0"/>
    <x v="0"/>
    <x v="0"/>
    <x v="0"/>
    <n v="2"/>
    <n v="300"/>
    <x v="0"/>
    <n v="426"/>
    <n v="174"/>
  </r>
  <r>
    <s v="ORD00002"/>
    <d v="2025-09-29T00:00:00"/>
    <x v="0"/>
    <x v="1"/>
    <x v="1"/>
    <x v="1"/>
    <x v="1"/>
    <n v="12"/>
    <n v="15000"/>
    <x v="1"/>
    <n v="144000"/>
    <n v="36000"/>
  </r>
  <r>
    <s v="ORD00003"/>
    <d v="2025-12-19T00:00:00"/>
    <x v="1"/>
    <x v="2"/>
    <x v="0"/>
    <x v="2"/>
    <x v="2"/>
    <n v="18"/>
    <n v="45000"/>
    <x v="2"/>
    <n v="688500"/>
    <n v="121500"/>
  </r>
  <r>
    <s v="ORD00004"/>
    <d v="2025-01-18T00:00:00"/>
    <x v="2"/>
    <x v="0"/>
    <x v="2"/>
    <x v="2"/>
    <x v="2"/>
    <n v="17"/>
    <n v="45000"/>
    <x v="3"/>
    <n v="604350"/>
    <n v="160650"/>
  </r>
  <r>
    <s v="ORD00005"/>
    <d v="2025-11-26T00:00:00"/>
    <x v="3"/>
    <x v="3"/>
    <x v="2"/>
    <x v="2"/>
    <x v="2"/>
    <n v="18"/>
    <n v="45000"/>
    <x v="2"/>
    <n v="599400"/>
    <n v="210600"/>
  </r>
  <r>
    <s v="ORD00006"/>
    <d v="2025-09-06T00:00:00"/>
    <x v="0"/>
    <x v="0"/>
    <x v="3"/>
    <x v="0"/>
    <x v="3"/>
    <n v="3"/>
    <n v="150"/>
    <x v="4"/>
    <n v="373.5"/>
    <n v="76.5"/>
  </r>
  <r>
    <s v="ORD00007"/>
    <d v="2025-10-15T00:00:00"/>
    <x v="4"/>
    <x v="4"/>
    <x v="2"/>
    <x v="1"/>
    <x v="4"/>
    <n v="18"/>
    <n v="5000"/>
    <x v="5"/>
    <n v="67500"/>
    <n v="22500"/>
  </r>
  <r>
    <s v="ORD00008"/>
    <d v="2025-12-29T00:00:00"/>
    <x v="1"/>
    <x v="3"/>
    <x v="1"/>
    <x v="1"/>
    <x v="1"/>
    <n v="6"/>
    <n v="15000"/>
    <x v="5"/>
    <n v="68400"/>
    <n v="21600"/>
  </r>
  <r>
    <s v="ORD00009"/>
    <d v="2025-06-25T00:00:00"/>
    <x v="5"/>
    <x v="2"/>
    <x v="3"/>
    <x v="2"/>
    <x v="5"/>
    <n v="17"/>
    <n v="25000"/>
    <x v="6"/>
    <n v="352750"/>
    <n v="72250"/>
  </r>
  <r>
    <s v="ORD00010"/>
    <d v="2025-06-12T00:00:00"/>
    <x v="5"/>
    <x v="2"/>
    <x v="4"/>
    <x v="0"/>
    <x v="3"/>
    <n v="18"/>
    <n v="150"/>
    <x v="7"/>
    <n v="2187"/>
    <n v="513"/>
  </r>
  <r>
    <s v="ORD00011"/>
    <d v="2025-05-02T00:00:00"/>
    <x v="6"/>
    <x v="4"/>
    <x v="3"/>
    <x v="2"/>
    <x v="5"/>
    <n v="4"/>
    <n v="25000"/>
    <x v="8"/>
    <n v="79000"/>
    <n v="21000"/>
  </r>
  <r>
    <s v="ORD00012"/>
    <d v="2025-02-20T00:00:00"/>
    <x v="7"/>
    <x v="5"/>
    <x v="1"/>
    <x v="2"/>
    <x v="6"/>
    <n v="8"/>
    <n v="35000"/>
    <x v="9"/>
    <n v="235200"/>
    <n v="44800"/>
  </r>
  <r>
    <s v="ORD00013"/>
    <d v="2025-02-02T00:00:00"/>
    <x v="7"/>
    <x v="5"/>
    <x v="3"/>
    <x v="1"/>
    <x v="7"/>
    <n v="16"/>
    <n v="18000"/>
    <x v="10"/>
    <n v="218880"/>
    <n v="69120"/>
  </r>
  <r>
    <s v="ORD00014"/>
    <d v="2025-01-26T00:00:00"/>
    <x v="2"/>
    <x v="0"/>
    <x v="2"/>
    <x v="2"/>
    <x v="5"/>
    <n v="2"/>
    <n v="25000"/>
    <x v="11"/>
    <n v="39000"/>
    <n v="11000"/>
  </r>
  <r>
    <s v="ORD00015"/>
    <d v="2025-08-31T00:00:00"/>
    <x v="8"/>
    <x v="0"/>
    <x v="0"/>
    <x v="2"/>
    <x v="5"/>
    <n v="15"/>
    <n v="25000"/>
    <x v="12"/>
    <n v="281250"/>
    <n v="93750"/>
  </r>
  <r>
    <s v="ORD00016"/>
    <d v="2025-04-13T00:00:00"/>
    <x v="9"/>
    <x v="2"/>
    <x v="3"/>
    <x v="0"/>
    <x v="8"/>
    <n v="4"/>
    <n v="250"/>
    <x v="13"/>
    <n v="730"/>
    <n v="270"/>
  </r>
  <r>
    <s v="ORD00017"/>
    <d v="2025-06-18T00:00:00"/>
    <x v="5"/>
    <x v="5"/>
    <x v="1"/>
    <x v="1"/>
    <x v="7"/>
    <n v="8"/>
    <n v="18000"/>
    <x v="14"/>
    <n v="105120"/>
    <n v="38880"/>
  </r>
  <r>
    <s v="ORD00018"/>
    <d v="2025-03-15T00:00:00"/>
    <x v="10"/>
    <x v="6"/>
    <x v="2"/>
    <x v="1"/>
    <x v="9"/>
    <n v="15"/>
    <n v="22000"/>
    <x v="15"/>
    <n v="240900"/>
    <n v="89100"/>
  </r>
  <r>
    <s v="ORD00019"/>
    <d v="2025-11-06T00:00:00"/>
    <x v="3"/>
    <x v="5"/>
    <x v="2"/>
    <x v="0"/>
    <x v="3"/>
    <n v="14"/>
    <n v="150"/>
    <x v="16"/>
    <n v="1533"/>
    <n v="567"/>
  </r>
  <r>
    <s v="ORD00020"/>
    <d v="2025-01-19T00:00:00"/>
    <x v="2"/>
    <x v="3"/>
    <x v="4"/>
    <x v="0"/>
    <x v="8"/>
    <n v="7"/>
    <n v="250"/>
    <x v="17"/>
    <n v="1365"/>
    <n v="385"/>
  </r>
  <r>
    <s v="ORD00021"/>
    <d v="2025-08-05T00:00:00"/>
    <x v="8"/>
    <x v="3"/>
    <x v="2"/>
    <x v="2"/>
    <x v="10"/>
    <n v="14"/>
    <n v="2500"/>
    <x v="18"/>
    <n v="28350.000000000004"/>
    <n v="6649.9999999999964"/>
  </r>
  <r>
    <s v="ORD00022"/>
    <d v="2025-02-03T00:00:00"/>
    <x v="7"/>
    <x v="5"/>
    <x v="0"/>
    <x v="0"/>
    <x v="3"/>
    <n v="14"/>
    <n v="150"/>
    <x v="16"/>
    <n v="1617"/>
    <n v="483"/>
  </r>
  <r>
    <s v="ORD00023"/>
    <d v="2025-08-18T00:00:00"/>
    <x v="8"/>
    <x v="7"/>
    <x v="1"/>
    <x v="1"/>
    <x v="1"/>
    <n v="12"/>
    <n v="15000"/>
    <x v="1"/>
    <n v="138600"/>
    <n v="41400"/>
  </r>
  <r>
    <s v="ORD00024"/>
    <d v="2025-12-10T00:00:00"/>
    <x v="1"/>
    <x v="6"/>
    <x v="0"/>
    <x v="1"/>
    <x v="11"/>
    <n v="2"/>
    <n v="12000"/>
    <x v="19"/>
    <n v="18960"/>
    <n v="5040"/>
  </r>
  <r>
    <s v="ORD00025"/>
    <d v="2025-07-18T00:00:00"/>
    <x v="11"/>
    <x v="1"/>
    <x v="1"/>
    <x v="2"/>
    <x v="10"/>
    <n v="4"/>
    <n v="2500"/>
    <x v="20"/>
    <n v="7200"/>
    <n v="2800"/>
  </r>
  <r>
    <s v="ORD00026"/>
    <d v="2025-07-28T00:00:00"/>
    <x v="11"/>
    <x v="1"/>
    <x v="4"/>
    <x v="0"/>
    <x v="12"/>
    <n v="20"/>
    <n v="800"/>
    <x v="21"/>
    <n v="13120"/>
    <n v="2880"/>
  </r>
  <r>
    <s v="ORD00027"/>
    <d v="2025-06-15T00:00:00"/>
    <x v="5"/>
    <x v="6"/>
    <x v="3"/>
    <x v="1"/>
    <x v="7"/>
    <n v="14"/>
    <n v="18000"/>
    <x v="22"/>
    <n v="209160"/>
    <n v="42840"/>
  </r>
  <r>
    <s v="ORD00028"/>
    <d v="2025-09-27T00:00:00"/>
    <x v="0"/>
    <x v="5"/>
    <x v="3"/>
    <x v="1"/>
    <x v="4"/>
    <n v="16"/>
    <n v="5000"/>
    <x v="23"/>
    <n v="68000"/>
    <n v="12000"/>
  </r>
  <r>
    <s v="ORD00029"/>
    <d v="2025-02-13T00:00:00"/>
    <x v="7"/>
    <x v="7"/>
    <x v="3"/>
    <x v="1"/>
    <x v="9"/>
    <n v="16"/>
    <n v="22000"/>
    <x v="24"/>
    <n v="253440"/>
    <n v="98560"/>
  </r>
  <r>
    <s v="ORD00030"/>
    <d v="2025-10-15T00:00:00"/>
    <x v="4"/>
    <x v="8"/>
    <x v="0"/>
    <x v="0"/>
    <x v="3"/>
    <n v="15"/>
    <n v="150"/>
    <x v="25"/>
    <n v="1687.5"/>
    <n v="562.5"/>
  </r>
  <r>
    <s v="ORD00031"/>
    <d v="2025-07-24T00:00:00"/>
    <x v="11"/>
    <x v="7"/>
    <x v="1"/>
    <x v="1"/>
    <x v="11"/>
    <n v="2"/>
    <n v="12000"/>
    <x v="19"/>
    <n v="19200"/>
    <n v="4800"/>
  </r>
  <r>
    <s v="ORD00032"/>
    <d v="2025-09-09T00:00:00"/>
    <x v="0"/>
    <x v="9"/>
    <x v="4"/>
    <x v="0"/>
    <x v="3"/>
    <n v="3"/>
    <n v="150"/>
    <x v="4"/>
    <n v="328.5"/>
    <n v="121.5"/>
  </r>
  <r>
    <s v="ORD00033"/>
    <d v="2025-03-24T00:00:00"/>
    <x v="10"/>
    <x v="9"/>
    <x v="2"/>
    <x v="1"/>
    <x v="7"/>
    <n v="18"/>
    <n v="18000"/>
    <x v="26"/>
    <n v="243000"/>
    <n v="81000"/>
  </r>
  <r>
    <s v="ORD00034"/>
    <d v="2025-08-25T00:00:00"/>
    <x v="8"/>
    <x v="6"/>
    <x v="1"/>
    <x v="0"/>
    <x v="12"/>
    <n v="9"/>
    <n v="800"/>
    <x v="27"/>
    <n v="5976"/>
    <n v="1224"/>
  </r>
  <r>
    <s v="ORD00035"/>
    <d v="2025-12-18T00:00:00"/>
    <x v="1"/>
    <x v="6"/>
    <x v="0"/>
    <x v="2"/>
    <x v="2"/>
    <n v="2"/>
    <n v="45000"/>
    <x v="5"/>
    <n v="72000"/>
    <n v="18000"/>
  </r>
  <r>
    <s v="ORD00036"/>
    <d v="2025-07-01T00:00:00"/>
    <x v="11"/>
    <x v="0"/>
    <x v="4"/>
    <x v="2"/>
    <x v="2"/>
    <n v="1"/>
    <n v="45000"/>
    <x v="28"/>
    <n v="31499.999999999996"/>
    <n v="13500.000000000004"/>
  </r>
  <r>
    <s v="ORD00037"/>
    <d v="2025-07-23T00:00:00"/>
    <x v="11"/>
    <x v="2"/>
    <x v="2"/>
    <x v="0"/>
    <x v="13"/>
    <n v="1"/>
    <n v="1200"/>
    <x v="29"/>
    <n v="936"/>
    <n v="264"/>
  </r>
  <r>
    <s v="ORD00038"/>
    <d v="2025-03-23T00:00:00"/>
    <x v="10"/>
    <x v="9"/>
    <x v="0"/>
    <x v="2"/>
    <x v="14"/>
    <n v="15"/>
    <n v="28000"/>
    <x v="30"/>
    <n v="306600"/>
    <n v="113400"/>
  </r>
  <r>
    <s v="ORD00039"/>
    <d v="2025-12-27T00:00:00"/>
    <x v="1"/>
    <x v="5"/>
    <x v="0"/>
    <x v="1"/>
    <x v="7"/>
    <n v="16"/>
    <n v="18000"/>
    <x v="10"/>
    <n v="218880"/>
    <n v="69120"/>
  </r>
  <r>
    <s v="ORD00040"/>
    <d v="2025-04-22T00:00:00"/>
    <x v="9"/>
    <x v="6"/>
    <x v="1"/>
    <x v="2"/>
    <x v="5"/>
    <n v="13"/>
    <n v="25000"/>
    <x v="31"/>
    <n v="234000"/>
    <n v="91000"/>
  </r>
  <r>
    <s v="ORD00041"/>
    <d v="2025-05-17T00:00:00"/>
    <x v="6"/>
    <x v="6"/>
    <x v="0"/>
    <x v="1"/>
    <x v="4"/>
    <n v="7"/>
    <n v="5000"/>
    <x v="18"/>
    <n v="26950"/>
    <n v="8050"/>
  </r>
  <r>
    <s v="ORD00042"/>
    <d v="2025-06-19T00:00:00"/>
    <x v="5"/>
    <x v="6"/>
    <x v="4"/>
    <x v="0"/>
    <x v="13"/>
    <n v="2"/>
    <n v="1200"/>
    <x v="32"/>
    <n v="2040"/>
    <n v="360"/>
  </r>
  <r>
    <s v="ORD00043"/>
    <d v="2025-07-01T00:00:00"/>
    <x v="11"/>
    <x v="3"/>
    <x v="0"/>
    <x v="2"/>
    <x v="10"/>
    <n v="5"/>
    <n v="2500"/>
    <x v="33"/>
    <n v="9625"/>
    <n v="2875"/>
  </r>
  <r>
    <s v="ORD00044"/>
    <d v="2025-09-26T00:00:00"/>
    <x v="0"/>
    <x v="8"/>
    <x v="1"/>
    <x v="1"/>
    <x v="7"/>
    <n v="20"/>
    <n v="18000"/>
    <x v="34"/>
    <n v="291600"/>
    <n v="68400"/>
  </r>
  <r>
    <s v="ORD00045"/>
    <d v="2025-10-27T00:00:00"/>
    <x v="4"/>
    <x v="7"/>
    <x v="2"/>
    <x v="0"/>
    <x v="0"/>
    <n v="18"/>
    <n v="300"/>
    <x v="35"/>
    <n v="4428"/>
    <n v="972"/>
  </r>
  <r>
    <s v="ORD00046"/>
    <d v="2025-08-03T00:00:00"/>
    <x v="8"/>
    <x v="9"/>
    <x v="2"/>
    <x v="0"/>
    <x v="0"/>
    <n v="19"/>
    <n v="300"/>
    <x v="36"/>
    <n v="4047"/>
    <n v="1653"/>
  </r>
  <r>
    <s v="ORD00047"/>
    <d v="2025-12-31T00:00:00"/>
    <x v="1"/>
    <x v="3"/>
    <x v="4"/>
    <x v="1"/>
    <x v="9"/>
    <n v="14"/>
    <n v="22000"/>
    <x v="37"/>
    <n v="218680"/>
    <n v="89320"/>
  </r>
  <r>
    <s v="ORD00048"/>
    <d v="2025-12-16T00:00:00"/>
    <x v="1"/>
    <x v="5"/>
    <x v="4"/>
    <x v="2"/>
    <x v="5"/>
    <n v="15"/>
    <n v="25000"/>
    <x v="12"/>
    <n v="266250"/>
    <n v="108750"/>
  </r>
  <r>
    <s v="ORD00049"/>
    <d v="2025-07-09T00:00:00"/>
    <x v="11"/>
    <x v="8"/>
    <x v="2"/>
    <x v="1"/>
    <x v="1"/>
    <n v="10"/>
    <n v="15000"/>
    <x v="38"/>
    <n v="112500"/>
    <n v="37500"/>
  </r>
  <r>
    <s v="ORD00050"/>
    <d v="2025-09-14T00:00:00"/>
    <x v="0"/>
    <x v="1"/>
    <x v="1"/>
    <x v="0"/>
    <x v="3"/>
    <n v="7"/>
    <n v="150"/>
    <x v="39"/>
    <n v="756"/>
    <n v="294"/>
  </r>
  <r>
    <s v="ORD00051"/>
    <d v="2025-04-29T00:00:00"/>
    <x v="9"/>
    <x v="4"/>
    <x v="1"/>
    <x v="0"/>
    <x v="8"/>
    <n v="9"/>
    <n v="250"/>
    <x v="25"/>
    <n v="1777.5"/>
    <n v="472.5"/>
  </r>
  <r>
    <s v="ORD00052"/>
    <d v="2025-06-27T00:00:00"/>
    <x v="5"/>
    <x v="8"/>
    <x v="2"/>
    <x v="0"/>
    <x v="3"/>
    <n v="1"/>
    <n v="150"/>
    <x v="40"/>
    <n v="109.5"/>
    <n v="40.5"/>
  </r>
  <r>
    <s v="ORD00053"/>
    <d v="2025-01-24T00:00:00"/>
    <x v="2"/>
    <x v="2"/>
    <x v="0"/>
    <x v="0"/>
    <x v="12"/>
    <n v="17"/>
    <n v="800"/>
    <x v="41"/>
    <n v="11016"/>
    <n v="2584"/>
  </r>
  <r>
    <s v="ORD00054"/>
    <d v="2025-04-16T00:00:00"/>
    <x v="9"/>
    <x v="3"/>
    <x v="2"/>
    <x v="2"/>
    <x v="15"/>
    <n v="12"/>
    <n v="85000"/>
    <x v="42"/>
    <n v="826200"/>
    <n v="193800"/>
  </r>
  <r>
    <s v="ORD00055"/>
    <d v="2025-09-19T00:00:00"/>
    <x v="0"/>
    <x v="1"/>
    <x v="0"/>
    <x v="2"/>
    <x v="5"/>
    <n v="19"/>
    <n v="25000"/>
    <x v="43"/>
    <n v="351500"/>
    <n v="123500"/>
  </r>
  <r>
    <s v="ORD00056"/>
    <d v="2025-06-07T00:00:00"/>
    <x v="5"/>
    <x v="8"/>
    <x v="0"/>
    <x v="1"/>
    <x v="9"/>
    <n v="18"/>
    <n v="22000"/>
    <x v="44"/>
    <n v="289080"/>
    <n v="106920"/>
  </r>
  <r>
    <s v="ORD00057"/>
    <d v="2025-11-23T00:00:00"/>
    <x v="3"/>
    <x v="3"/>
    <x v="2"/>
    <x v="1"/>
    <x v="7"/>
    <n v="2"/>
    <n v="18000"/>
    <x v="45"/>
    <n v="25920"/>
    <n v="10080"/>
  </r>
  <r>
    <s v="ORD00058"/>
    <d v="2025-01-26T00:00:00"/>
    <x v="2"/>
    <x v="0"/>
    <x v="2"/>
    <x v="1"/>
    <x v="4"/>
    <n v="15"/>
    <n v="5000"/>
    <x v="46"/>
    <n v="56250"/>
    <n v="18750"/>
  </r>
  <r>
    <s v="ORD00059"/>
    <d v="2025-10-09T00:00:00"/>
    <x v="4"/>
    <x v="2"/>
    <x v="0"/>
    <x v="2"/>
    <x v="5"/>
    <n v="18"/>
    <n v="25000"/>
    <x v="47"/>
    <n v="382500"/>
    <n v="67500"/>
  </r>
  <r>
    <s v="ORD00060"/>
    <d v="2025-08-30T00:00:00"/>
    <x v="8"/>
    <x v="7"/>
    <x v="1"/>
    <x v="1"/>
    <x v="1"/>
    <n v="18"/>
    <n v="15000"/>
    <x v="48"/>
    <n v="221400"/>
    <n v="48600"/>
  </r>
  <r>
    <s v="ORD00061"/>
    <d v="2025-07-31T00:00:00"/>
    <x v="11"/>
    <x v="7"/>
    <x v="1"/>
    <x v="0"/>
    <x v="12"/>
    <n v="10"/>
    <n v="800"/>
    <x v="49"/>
    <n v="6640"/>
    <n v="1360"/>
  </r>
  <r>
    <s v="ORD00062"/>
    <d v="2025-08-04T00:00:00"/>
    <x v="8"/>
    <x v="2"/>
    <x v="4"/>
    <x v="0"/>
    <x v="13"/>
    <n v="4"/>
    <n v="1200"/>
    <x v="50"/>
    <n v="3888.0000000000005"/>
    <n v="911.99999999999955"/>
  </r>
  <r>
    <s v="ORD00063"/>
    <d v="2025-12-28T00:00:00"/>
    <x v="1"/>
    <x v="0"/>
    <x v="3"/>
    <x v="0"/>
    <x v="8"/>
    <n v="18"/>
    <n v="250"/>
    <x v="51"/>
    <n v="3420"/>
    <n v="1080"/>
  </r>
  <r>
    <s v="ORD00064"/>
    <d v="2025-02-26T00:00:00"/>
    <x v="7"/>
    <x v="2"/>
    <x v="1"/>
    <x v="2"/>
    <x v="14"/>
    <n v="18"/>
    <n v="28000"/>
    <x v="52"/>
    <n v="413280"/>
    <n v="90720"/>
  </r>
  <r>
    <s v="ORD00065"/>
    <d v="2025-01-28T00:00:00"/>
    <x v="2"/>
    <x v="4"/>
    <x v="4"/>
    <x v="2"/>
    <x v="5"/>
    <n v="15"/>
    <n v="25000"/>
    <x v="12"/>
    <n v="281250"/>
    <n v="93750"/>
  </r>
  <r>
    <s v="ORD00066"/>
    <d v="2025-09-02T00:00:00"/>
    <x v="0"/>
    <x v="2"/>
    <x v="2"/>
    <x v="0"/>
    <x v="12"/>
    <n v="1"/>
    <n v="800"/>
    <x v="53"/>
    <n v="664"/>
    <n v="136"/>
  </r>
  <r>
    <s v="ORD00067"/>
    <d v="2025-04-21T00:00:00"/>
    <x v="9"/>
    <x v="8"/>
    <x v="1"/>
    <x v="2"/>
    <x v="14"/>
    <n v="6"/>
    <n v="28000"/>
    <x v="54"/>
    <n v="129360"/>
    <n v="38640"/>
  </r>
  <r>
    <s v="ORD00068"/>
    <d v="2025-05-11T00:00:00"/>
    <x v="6"/>
    <x v="2"/>
    <x v="2"/>
    <x v="0"/>
    <x v="8"/>
    <n v="18"/>
    <n v="250"/>
    <x v="51"/>
    <n v="3600"/>
    <n v="900"/>
  </r>
  <r>
    <s v="ORD00069"/>
    <d v="2025-07-27T00:00:00"/>
    <x v="11"/>
    <x v="9"/>
    <x v="2"/>
    <x v="2"/>
    <x v="16"/>
    <n v="15"/>
    <n v="1500"/>
    <x v="55"/>
    <n v="16200"/>
    <n v="6300"/>
  </r>
  <r>
    <s v="ORD00070"/>
    <d v="2025-02-13T00:00:00"/>
    <x v="7"/>
    <x v="2"/>
    <x v="4"/>
    <x v="1"/>
    <x v="7"/>
    <n v="20"/>
    <n v="18000"/>
    <x v="34"/>
    <n v="306000"/>
    <n v="54000"/>
  </r>
  <r>
    <s v="ORD00071"/>
    <d v="2025-06-22T00:00:00"/>
    <x v="5"/>
    <x v="9"/>
    <x v="4"/>
    <x v="0"/>
    <x v="13"/>
    <n v="10"/>
    <n v="1200"/>
    <x v="56"/>
    <n v="8880"/>
    <n v="3120"/>
  </r>
  <r>
    <s v="ORD00072"/>
    <d v="2025-10-21T00:00:00"/>
    <x v="4"/>
    <x v="9"/>
    <x v="1"/>
    <x v="2"/>
    <x v="14"/>
    <n v="13"/>
    <n v="28000"/>
    <x v="57"/>
    <n v="258440"/>
    <n v="105560"/>
  </r>
  <r>
    <s v="ORD00073"/>
    <d v="2025-06-19T00:00:00"/>
    <x v="5"/>
    <x v="5"/>
    <x v="1"/>
    <x v="0"/>
    <x v="12"/>
    <n v="4"/>
    <n v="800"/>
    <x v="58"/>
    <n v="2656"/>
    <n v="544"/>
  </r>
  <r>
    <s v="ORD00074"/>
    <d v="2025-11-02T00:00:00"/>
    <x v="3"/>
    <x v="5"/>
    <x v="3"/>
    <x v="0"/>
    <x v="8"/>
    <n v="18"/>
    <n v="250"/>
    <x v="51"/>
    <n v="3375"/>
    <n v="1125"/>
  </r>
  <r>
    <s v="ORD00075"/>
    <d v="2025-05-30T00:00:00"/>
    <x v="6"/>
    <x v="8"/>
    <x v="4"/>
    <x v="2"/>
    <x v="15"/>
    <n v="14"/>
    <n v="85000"/>
    <x v="59"/>
    <n v="975800"/>
    <n v="214200"/>
  </r>
  <r>
    <s v="ORD00076"/>
    <d v="2025-09-14T00:00:00"/>
    <x v="0"/>
    <x v="8"/>
    <x v="3"/>
    <x v="1"/>
    <x v="1"/>
    <n v="14"/>
    <n v="15000"/>
    <x v="60"/>
    <n v="159600"/>
    <n v="50400"/>
  </r>
  <r>
    <s v="ORD00077"/>
    <d v="2025-09-16T00:00:00"/>
    <x v="0"/>
    <x v="4"/>
    <x v="0"/>
    <x v="0"/>
    <x v="12"/>
    <n v="17"/>
    <n v="800"/>
    <x v="41"/>
    <n v="10472"/>
    <n v="3128"/>
  </r>
  <r>
    <s v="ORD00078"/>
    <d v="2025-01-11T00:00:00"/>
    <x v="2"/>
    <x v="1"/>
    <x v="0"/>
    <x v="2"/>
    <x v="10"/>
    <n v="3"/>
    <n v="2500"/>
    <x v="61"/>
    <n v="5400"/>
    <n v="2100"/>
  </r>
  <r>
    <s v="ORD00079"/>
    <d v="2025-11-01T00:00:00"/>
    <x v="3"/>
    <x v="2"/>
    <x v="2"/>
    <x v="0"/>
    <x v="3"/>
    <n v="18"/>
    <n v="150"/>
    <x v="7"/>
    <n v="1917"/>
    <n v="783"/>
  </r>
  <r>
    <s v="ORD00080"/>
    <d v="2025-04-09T00:00:00"/>
    <x v="9"/>
    <x v="8"/>
    <x v="0"/>
    <x v="2"/>
    <x v="15"/>
    <n v="3"/>
    <n v="85000"/>
    <x v="62"/>
    <n v="209100"/>
    <n v="45900"/>
  </r>
  <r>
    <s v="ORD00081"/>
    <d v="2025-02-23T00:00:00"/>
    <x v="7"/>
    <x v="7"/>
    <x v="2"/>
    <x v="0"/>
    <x v="12"/>
    <n v="8"/>
    <n v="800"/>
    <x v="63"/>
    <n v="5440"/>
    <n v="960"/>
  </r>
  <r>
    <s v="ORD00082"/>
    <d v="2025-04-10T00:00:00"/>
    <x v="9"/>
    <x v="9"/>
    <x v="1"/>
    <x v="2"/>
    <x v="5"/>
    <n v="12"/>
    <n v="25000"/>
    <x v="64"/>
    <n v="213000"/>
    <n v="87000"/>
  </r>
  <r>
    <s v="ORD00083"/>
    <d v="2025-07-02T00:00:00"/>
    <x v="11"/>
    <x v="5"/>
    <x v="0"/>
    <x v="1"/>
    <x v="7"/>
    <n v="17"/>
    <n v="18000"/>
    <x v="65"/>
    <n v="229500"/>
    <n v="76500"/>
  </r>
  <r>
    <s v="ORD00084"/>
    <d v="2025-05-18T00:00:00"/>
    <x v="6"/>
    <x v="3"/>
    <x v="0"/>
    <x v="1"/>
    <x v="9"/>
    <n v="20"/>
    <n v="22000"/>
    <x v="66"/>
    <n v="374000"/>
    <n v="66000"/>
  </r>
  <r>
    <s v="ORD00085"/>
    <d v="2025-05-01T00:00:00"/>
    <x v="6"/>
    <x v="2"/>
    <x v="4"/>
    <x v="0"/>
    <x v="8"/>
    <n v="8"/>
    <n v="250"/>
    <x v="67"/>
    <n v="1480"/>
    <n v="520"/>
  </r>
  <r>
    <s v="ORD00086"/>
    <d v="2025-02-04T00:00:00"/>
    <x v="7"/>
    <x v="9"/>
    <x v="3"/>
    <x v="0"/>
    <x v="0"/>
    <n v="10"/>
    <n v="300"/>
    <x v="68"/>
    <n v="2370"/>
    <n v="630"/>
  </r>
  <r>
    <s v="ORD00087"/>
    <d v="2025-09-26T00:00:00"/>
    <x v="0"/>
    <x v="6"/>
    <x v="1"/>
    <x v="2"/>
    <x v="15"/>
    <n v="15"/>
    <n v="85000"/>
    <x v="69"/>
    <n v="994500"/>
    <n v="280500"/>
  </r>
  <r>
    <s v="ORD00088"/>
    <d v="2025-02-18T00:00:00"/>
    <x v="7"/>
    <x v="8"/>
    <x v="4"/>
    <x v="2"/>
    <x v="6"/>
    <n v="4"/>
    <n v="35000"/>
    <x v="70"/>
    <n v="107800"/>
    <n v="32200"/>
  </r>
  <r>
    <s v="ORD00089"/>
    <d v="2025-04-23T00:00:00"/>
    <x v="9"/>
    <x v="7"/>
    <x v="1"/>
    <x v="2"/>
    <x v="14"/>
    <n v="16"/>
    <n v="28000"/>
    <x v="71"/>
    <n v="336000"/>
    <n v="112000"/>
  </r>
  <r>
    <s v="ORD00090"/>
    <d v="2025-09-18T00:00:00"/>
    <x v="0"/>
    <x v="1"/>
    <x v="0"/>
    <x v="0"/>
    <x v="12"/>
    <n v="13"/>
    <n v="800"/>
    <x v="72"/>
    <n v="8528"/>
    <n v="1872"/>
  </r>
  <r>
    <s v="ORD00091"/>
    <d v="2025-03-13T00:00:00"/>
    <x v="10"/>
    <x v="4"/>
    <x v="1"/>
    <x v="1"/>
    <x v="7"/>
    <n v="5"/>
    <n v="18000"/>
    <x v="5"/>
    <n v="65700"/>
    <n v="24300"/>
  </r>
  <r>
    <s v="ORD00092"/>
    <d v="2025-04-29T00:00:00"/>
    <x v="9"/>
    <x v="4"/>
    <x v="0"/>
    <x v="2"/>
    <x v="16"/>
    <n v="2"/>
    <n v="1500"/>
    <x v="68"/>
    <n v="2340"/>
    <n v="660"/>
  </r>
  <r>
    <s v="ORD00093"/>
    <d v="2025-11-04T00:00:00"/>
    <x v="3"/>
    <x v="8"/>
    <x v="0"/>
    <x v="2"/>
    <x v="2"/>
    <n v="18"/>
    <n v="45000"/>
    <x v="2"/>
    <n v="591300"/>
    <n v="218700"/>
  </r>
  <r>
    <s v="ORD00094"/>
    <d v="2025-03-28T00:00:00"/>
    <x v="10"/>
    <x v="1"/>
    <x v="2"/>
    <x v="2"/>
    <x v="16"/>
    <n v="14"/>
    <n v="1500"/>
    <x v="73"/>
    <n v="15330"/>
    <n v="5670"/>
  </r>
  <r>
    <s v="ORD00095"/>
    <d v="2025-12-30T00:00:00"/>
    <x v="1"/>
    <x v="1"/>
    <x v="0"/>
    <x v="1"/>
    <x v="1"/>
    <n v="3"/>
    <n v="15000"/>
    <x v="28"/>
    <n v="34200"/>
    <n v="10800"/>
  </r>
  <r>
    <s v="ORD00096"/>
    <d v="2025-05-02T00:00:00"/>
    <x v="6"/>
    <x v="5"/>
    <x v="2"/>
    <x v="2"/>
    <x v="15"/>
    <n v="19"/>
    <n v="85000"/>
    <x v="74"/>
    <n v="1340450"/>
    <n v="274550"/>
  </r>
  <r>
    <s v="ORD00097"/>
    <d v="2025-09-04T00:00:00"/>
    <x v="0"/>
    <x v="2"/>
    <x v="2"/>
    <x v="1"/>
    <x v="7"/>
    <n v="6"/>
    <n v="18000"/>
    <x v="75"/>
    <n v="75600"/>
    <n v="32400"/>
  </r>
  <r>
    <s v="ORD00098"/>
    <d v="2025-11-02T00:00:00"/>
    <x v="3"/>
    <x v="8"/>
    <x v="0"/>
    <x v="0"/>
    <x v="13"/>
    <n v="15"/>
    <n v="1200"/>
    <x v="76"/>
    <n v="15120"/>
    <n v="2880"/>
  </r>
  <r>
    <s v="ORD00099"/>
    <d v="2025-03-24T00:00:00"/>
    <x v="10"/>
    <x v="6"/>
    <x v="3"/>
    <x v="2"/>
    <x v="6"/>
    <n v="19"/>
    <n v="35000"/>
    <x v="77"/>
    <n v="485450"/>
    <n v="179550"/>
  </r>
  <r>
    <s v="ORD00100"/>
    <d v="2025-02-12T00:00:00"/>
    <x v="7"/>
    <x v="1"/>
    <x v="3"/>
    <x v="1"/>
    <x v="9"/>
    <n v="16"/>
    <n v="22000"/>
    <x v="24"/>
    <n v="260480"/>
    <n v="91520"/>
  </r>
  <r>
    <s v="ORD00101"/>
    <d v="2025-10-21T00:00:00"/>
    <x v="4"/>
    <x v="6"/>
    <x v="3"/>
    <x v="2"/>
    <x v="10"/>
    <n v="18"/>
    <n v="2500"/>
    <x v="28"/>
    <n v="37800"/>
    <n v="7200"/>
  </r>
  <r>
    <s v="ORD00102"/>
    <d v="2025-05-27T00:00:00"/>
    <x v="6"/>
    <x v="6"/>
    <x v="4"/>
    <x v="0"/>
    <x v="3"/>
    <n v="17"/>
    <n v="150"/>
    <x v="78"/>
    <n v="1912.5"/>
    <n v="637.5"/>
  </r>
  <r>
    <s v="ORD00103"/>
    <d v="2025-11-20T00:00:00"/>
    <x v="3"/>
    <x v="4"/>
    <x v="0"/>
    <x v="1"/>
    <x v="7"/>
    <n v="9"/>
    <n v="18000"/>
    <x v="79"/>
    <n v="129600"/>
    <n v="32400"/>
  </r>
  <r>
    <s v="ORD00104"/>
    <d v="2025-05-17T00:00:00"/>
    <x v="6"/>
    <x v="6"/>
    <x v="4"/>
    <x v="0"/>
    <x v="0"/>
    <n v="18"/>
    <n v="300"/>
    <x v="35"/>
    <n v="4482"/>
    <n v="918"/>
  </r>
  <r>
    <s v="ORD00105"/>
    <d v="2025-10-03T00:00:00"/>
    <x v="4"/>
    <x v="4"/>
    <x v="4"/>
    <x v="0"/>
    <x v="8"/>
    <n v="19"/>
    <n v="250"/>
    <x v="80"/>
    <n v="4037.5"/>
    <n v="712.5"/>
  </r>
  <r>
    <s v="ORD00106"/>
    <d v="2025-08-22T00:00:00"/>
    <x v="8"/>
    <x v="3"/>
    <x v="1"/>
    <x v="0"/>
    <x v="3"/>
    <n v="4"/>
    <n v="150"/>
    <x v="0"/>
    <n v="450"/>
    <n v="150"/>
  </r>
  <r>
    <s v="ORD00107"/>
    <d v="2025-08-07T00:00:00"/>
    <x v="8"/>
    <x v="9"/>
    <x v="3"/>
    <x v="0"/>
    <x v="0"/>
    <n v="6"/>
    <n v="300"/>
    <x v="81"/>
    <n v="1440"/>
    <n v="360"/>
  </r>
  <r>
    <s v="ORD00108"/>
    <d v="2025-05-05T00:00:00"/>
    <x v="6"/>
    <x v="7"/>
    <x v="3"/>
    <x v="1"/>
    <x v="4"/>
    <n v="8"/>
    <n v="5000"/>
    <x v="82"/>
    <n v="28400"/>
    <n v="11600"/>
  </r>
  <r>
    <s v="ORD00109"/>
    <d v="2025-08-14T00:00:00"/>
    <x v="8"/>
    <x v="2"/>
    <x v="0"/>
    <x v="0"/>
    <x v="12"/>
    <n v="1"/>
    <n v="800"/>
    <x v="53"/>
    <n v="664"/>
    <n v="136"/>
  </r>
  <r>
    <s v="ORD00110"/>
    <d v="2025-03-12T00:00:00"/>
    <x v="10"/>
    <x v="5"/>
    <x v="4"/>
    <x v="2"/>
    <x v="10"/>
    <n v="19"/>
    <n v="2500"/>
    <x v="83"/>
    <n v="34675"/>
    <n v="12825"/>
  </r>
  <r>
    <s v="ORD00111"/>
    <d v="2025-11-14T00:00:00"/>
    <x v="3"/>
    <x v="6"/>
    <x v="0"/>
    <x v="1"/>
    <x v="4"/>
    <n v="12"/>
    <n v="5000"/>
    <x v="84"/>
    <n v="48600"/>
    <n v="11400"/>
  </r>
  <r>
    <s v="ORD00112"/>
    <d v="2025-08-19T00:00:00"/>
    <x v="8"/>
    <x v="5"/>
    <x v="4"/>
    <x v="0"/>
    <x v="3"/>
    <n v="7"/>
    <n v="150"/>
    <x v="39"/>
    <n v="735"/>
    <n v="315"/>
  </r>
  <r>
    <s v="ORD00113"/>
    <d v="2025-09-05T00:00:00"/>
    <x v="0"/>
    <x v="9"/>
    <x v="1"/>
    <x v="1"/>
    <x v="1"/>
    <n v="6"/>
    <n v="15000"/>
    <x v="5"/>
    <n v="72000"/>
    <n v="18000"/>
  </r>
  <r>
    <s v="ORD00114"/>
    <d v="2025-02-24T00:00:00"/>
    <x v="7"/>
    <x v="1"/>
    <x v="4"/>
    <x v="1"/>
    <x v="9"/>
    <n v="9"/>
    <n v="22000"/>
    <x v="85"/>
    <n v="162360"/>
    <n v="35640"/>
  </r>
  <r>
    <s v="ORD00115"/>
    <d v="2025-05-05T00:00:00"/>
    <x v="6"/>
    <x v="2"/>
    <x v="1"/>
    <x v="1"/>
    <x v="7"/>
    <n v="9"/>
    <n v="18000"/>
    <x v="79"/>
    <n v="129600"/>
    <n v="32400"/>
  </r>
  <r>
    <s v="ORD00116"/>
    <d v="2025-03-02T00:00:00"/>
    <x v="10"/>
    <x v="7"/>
    <x v="3"/>
    <x v="1"/>
    <x v="11"/>
    <n v="14"/>
    <n v="12000"/>
    <x v="54"/>
    <n v="127680"/>
    <n v="40320"/>
  </r>
  <r>
    <s v="ORD00117"/>
    <d v="2025-06-14T00:00:00"/>
    <x v="5"/>
    <x v="6"/>
    <x v="3"/>
    <x v="1"/>
    <x v="9"/>
    <n v="19"/>
    <n v="22000"/>
    <x v="86"/>
    <n v="334400"/>
    <n v="83600"/>
  </r>
  <r>
    <s v="ORD00118"/>
    <d v="2025-12-12T00:00:00"/>
    <x v="1"/>
    <x v="3"/>
    <x v="1"/>
    <x v="2"/>
    <x v="10"/>
    <n v="16"/>
    <n v="2500"/>
    <x v="82"/>
    <n v="33200"/>
    <n v="6800"/>
  </r>
  <r>
    <s v="ORD00119"/>
    <d v="2025-01-10T00:00:00"/>
    <x v="2"/>
    <x v="6"/>
    <x v="4"/>
    <x v="2"/>
    <x v="5"/>
    <n v="3"/>
    <n v="25000"/>
    <x v="46"/>
    <n v="57000"/>
    <n v="18000"/>
  </r>
  <r>
    <s v="ORD00120"/>
    <d v="2025-11-12T00:00:00"/>
    <x v="3"/>
    <x v="9"/>
    <x v="4"/>
    <x v="0"/>
    <x v="12"/>
    <n v="9"/>
    <n v="800"/>
    <x v="27"/>
    <n v="5400"/>
    <n v="1800"/>
  </r>
  <r>
    <s v="ORD00121"/>
    <d v="2025-12-15T00:00:00"/>
    <x v="1"/>
    <x v="3"/>
    <x v="0"/>
    <x v="1"/>
    <x v="9"/>
    <n v="14"/>
    <n v="22000"/>
    <x v="37"/>
    <n v="258720"/>
    <n v="49280"/>
  </r>
  <r>
    <s v="ORD00122"/>
    <d v="2025-02-25T00:00:00"/>
    <x v="7"/>
    <x v="7"/>
    <x v="3"/>
    <x v="2"/>
    <x v="2"/>
    <n v="11"/>
    <n v="45000"/>
    <x v="87"/>
    <n v="361350"/>
    <n v="133650"/>
  </r>
  <r>
    <s v="ORD00123"/>
    <d v="2025-12-17T00:00:00"/>
    <x v="1"/>
    <x v="4"/>
    <x v="2"/>
    <x v="0"/>
    <x v="13"/>
    <n v="1"/>
    <n v="1200"/>
    <x v="29"/>
    <n v="936"/>
    <n v="264"/>
  </r>
  <r>
    <s v="ORD00124"/>
    <d v="2025-12-05T00:00:00"/>
    <x v="1"/>
    <x v="6"/>
    <x v="3"/>
    <x v="1"/>
    <x v="7"/>
    <n v="19"/>
    <n v="18000"/>
    <x v="88"/>
    <n v="270180"/>
    <n v="71820"/>
  </r>
  <r>
    <s v="ORD00125"/>
    <d v="2025-01-24T00:00:00"/>
    <x v="2"/>
    <x v="5"/>
    <x v="3"/>
    <x v="0"/>
    <x v="0"/>
    <n v="17"/>
    <n v="300"/>
    <x v="89"/>
    <n v="4284"/>
    <n v="816"/>
  </r>
  <r>
    <s v="ORD00126"/>
    <d v="2025-06-09T00:00:00"/>
    <x v="5"/>
    <x v="4"/>
    <x v="2"/>
    <x v="1"/>
    <x v="7"/>
    <n v="13"/>
    <n v="18000"/>
    <x v="90"/>
    <n v="163800"/>
    <n v="70200"/>
  </r>
  <r>
    <s v="ORD00127"/>
    <d v="2025-02-11T00:00:00"/>
    <x v="7"/>
    <x v="0"/>
    <x v="2"/>
    <x v="1"/>
    <x v="9"/>
    <n v="9"/>
    <n v="22000"/>
    <x v="85"/>
    <n v="164340"/>
    <n v="33660"/>
  </r>
  <r>
    <s v="ORD00128"/>
    <d v="2025-09-02T00:00:00"/>
    <x v="0"/>
    <x v="2"/>
    <x v="1"/>
    <x v="0"/>
    <x v="13"/>
    <n v="14"/>
    <n v="1200"/>
    <x v="91"/>
    <n v="12768"/>
    <n v="4032"/>
  </r>
  <r>
    <s v="ORD00129"/>
    <d v="2025-10-30T00:00:00"/>
    <x v="4"/>
    <x v="6"/>
    <x v="0"/>
    <x v="0"/>
    <x v="0"/>
    <n v="16"/>
    <n v="300"/>
    <x v="50"/>
    <n v="3792"/>
    <n v="1008"/>
  </r>
  <r>
    <s v="ORD00130"/>
    <d v="2025-05-12T00:00:00"/>
    <x v="6"/>
    <x v="9"/>
    <x v="0"/>
    <x v="1"/>
    <x v="1"/>
    <n v="14"/>
    <n v="15000"/>
    <x v="60"/>
    <n v="155400"/>
    <n v="54600"/>
  </r>
  <r>
    <s v="ORD00131"/>
    <d v="2025-08-01T00:00:00"/>
    <x v="8"/>
    <x v="7"/>
    <x v="3"/>
    <x v="2"/>
    <x v="15"/>
    <n v="3"/>
    <n v="85000"/>
    <x v="62"/>
    <n v="183600"/>
    <n v="71400"/>
  </r>
  <r>
    <s v="ORD00132"/>
    <d v="2025-09-21T00:00:00"/>
    <x v="0"/>
    <x v="3"/>
    <x v="0"/>
    <x v="1"/>
    <x v="1"/>
    <n v="3"/>
    <n v="15000"/>
    <x v="28"/>
    <n v="37350"/>
    <n v="7650"/>
  </r>
  <r>
    <s v="ORD00133"/>
    <d v="2025-07-11T00:00:00"/>
    <x v="11"/>
    <x v="3"/>
    <x v="3"/>
    <x v="1"/>
    <x v="1"/>
    <n v="4"/>
    <n v="15000"/>
    <x v="84"/>
    <n v="49200"/>
    <n v="10800"/>
  </r>
  <r>
    <s v="ORD00134"/>
    <d v="2025-03-17T00:00:00"/>
    <x v="10"/>
    <x v="7"/>
    <x v="4"/>
    <x v="2"/>
    <x v="16"/>
    <n v="12"/>
    <n v="1500"/>
    <x v="76"/>
    <n v="12780"/>
    <n v="5220"/>
  </r>
  <r>
    <s v="ORD00135"/>
    <d v="2025-07-09T00:00:00"/>
    <x v="11"/>
    <x v="1"/>
    <x v="4"/>
    <x v="0"/>
    <x v="3"/>
    <n v="10"/>
    <n v="150"/>
    <x v="92"/>
    <n v="1185"/>
    <n v="315"/>
  </r>
  <r>
    <s v="ORD00136"/>
    <d v="2025-09-18T00:00:00"/>
    <x v="0"/>
    <x v="5"/>
    <x v="4"/>
    <x v="2"/>
    <x v="5"/>
    <n v="7"/>
    <n v="25000"/>
    <x v="93"/>
    <n v="141750"/>
    <n v="33250"/>
  </r>
  <r>
    <s v="ORD00137"/>
    <d v="2025-11-21T00:00:00"/>
    <x v="3"/>
    <x v="1"/>
    <x v="0"/>
    <x v="2"/>
    <x v="14"/>
    <n v="7"/>
    <n v="28000"/>
    <x v="94"/>
    <n v="160720"/>
    <n v="35280"/>
  </r>
  <r>
    <s v="ORD00138"/>
    <d v="2025-08-30T00:00:00"/>
    <x v="8"/>
    <x v="7"/>
    <x v="4"/>
    <x v="2"/>
    <x v="14"/>
    <n v="17"/>
    <n v="28000"/>
    <x v="95"/>
    <n v="366520"/>
    <n v="109480"/>
  </r>
  <r>
    <s v="ORD00139"/>
    <d v="2025-05-13T00:00:00"/>
    <x v="6"/>
    <x v="6"/>
    <x v="4"/>
    <x v="2"/>
    <x v="5"/>
    <n v="8"/>
    <n v="25000"/>
    <x v="96"/>
    <n v="160000"/>
    <n v="40000"/>
  </r>
  <r>
    <s v="ORD00140"/>
    <d v="2025-04-21T00:00:00"/>
    <x v="9"/>
    <x v="4"/>
    <x v="1"/>
    <x v="2"/>
    <x v="14"/>
    <n v="15"/>
    <n v="28000"/>
    <x v="30"/>
    <n v="331800"/>
    <n v="88200"/>
  </r>
  <r>
    <s v="ORD00141"/>
    <d v="2025-02-12T00:00:00"/>
    <x v="7"/>
    <x v="9"/>
    <x v="4"/>
    <x v="2"/>
    <x v="15"/>
    <n v="20"/>
    <n v="85000"/>
    <x v="97"/>
    <n v="1241000"/>
    <n v="459000"/>
  </r>
  <r>
    <s v="ORD00142"/>
    <d v="2025-09-07T00:00:00"/>
    <x v="0"/>
    <x v="0"/>
    <x v="2"/>
    <x v="1"/>
    <x v="1"/>
    <n v="18"/>
    <n v="15000"/>
    <x v="48"/>
    <n v="226800"/>
    <n v="43200"/>
  </r>
  <r>
    <s v="ORD00143"/>
    <d v="2025-12-07T00:00:00"/>
    <x v="1"/>
    <x v="6"/>
    <x v="0"/>
    <x v="0"/>
    <x v="3"/>
    <n v="8"/>
    <n v="150"/>
    <x v="29"/>
    <n v="1008"/>
    <n v="192"/>
  </r>
  <r>
    <s v="ORD00144"/>
    <d v="2025-10-07T00:00:00"/>
    <x v="4"/>
    <x v="8"/>
    <x v="2"/>
    <x v="0"/>
    <x v="8"/>
    <n v="19"/>
    <n v="250"/>
    <x v="80"/>
    <n v="3705"/>
    <n v="1045"/>
  </r>
  <r>
    <s v="ORD00145"/>
    <d v="2025-03-25T00:00:00"/>
    <x v="10"/>
    <x v="6"/>
    <x v="1"/>
    <x v="2"/>
    <x v="15"/>
    <n v="15"/>
    <n v="85000"/>
    <x v="69"/>
    <n v="1032750.0000000001"/>
    <n v="242249.99999999988"/>
  </r>
  <r>
    <s v="ORD00146"/>
    <d v="2025-05-14T00:00:00"/>
    <x v="6"/>
    <x v="2"/>
    <x v="2"/>
    <x v="1"/>
    <x v="11"/>
    <n v="8"/>
    <n v="12000"/>
    <x v="98"/>
    <n v="80640"/>
    <n v="15360"/>
  </r>
  <r>
    <s v="ORD00147"/>
    <d v="2025-05-15T00:00:00"/>
    <x v="6"/>
    <x v="3"/>
    <x v="1"/>
    <x v="0"/>
    <x v="0"/>
    <n v="11"/>
    <n v="300"/>
    <x v="99"/>
    <n v="2376"/>
    <n v="924"/>
  </r>
  <r>
    <s v="ORD00148"/>
    <d v="2025-11-16T00:00:00"/>
    <x v="3"/>
    <x v="9"/>
    <x v="4"/>
    <x v="2"/>
    <x v="16"/>
    <n v="5"/>
    <n v="1500"/>
    <x v="61"/>
    <n v="6150"/>
    <n v="1350"/>
  </r>
  <r>
    <s v="ORD00149"/>
    <d v="2025-04-24T00:00:00"/>
    <x v="9"/>
    <x v="7"/>
    <x v="0"/>
    <x v="2"/>
    <x v="10"/>
    <n v="1"/>
    <n v="2500"/>
    <x v="100"/>
    <n v="2025.0000000000002"/>
    <n v="474.99999999999977"/>
  </r>
  <r>
    <s v="ORD00150"/>
    <d v="2025-03-11T00:00:00"/>
    <x v="10"/>
    <x v="4"/>
    <x v="4"/>
    <x v="2"/>
    <x v="2"/>
    <n v="6"/>
    <n v="45000"/>
    <x v="48"/>
    <n v="226800"/>
    <n v="43200"/>
  </r>
  <r>
    <s v="ORD00151"/>
    <d v="2025-08-23T00:00:00"/>
    <x v="8"/>
    <x v="3"/>
    <x v="0"/>
    <x v="1"/>
    <x v="11"/>
    <n v="7"/>
    <n v="12000"/>
    <x v="101"/>
    <n v="64680"/>
    <n v="19320"/>
  </r>
  <r>
    <s v="ORD00152"/>
    <d v="2025-08-27T00:00:00"/>
    <x v="8"/>
    <x v="4"/>
    <x v="4"/>
    <x v="2"/>
    <x v="15"/>
    <n v="4"/>
    <n v="85000"/>
    <x v="102"/>
    <n v="268600"/>
    <n v="71400"/>
  </r>
  <r>
    <s v="ORD00153"/>
    <d v="2025-09-22T00:00:00"/>
    <x v="0"/>
    <x v="6"/>
    <x v="4"/>
    <x v="2"/>
    <x v="15"/>
    <n v="9"/>
    <n v="85000"/>
    <x v="3"/>
    <n v="604350"/>
    <n v="160650"/>
  </r>
  <r>
    <s v="ORD00154"/>
    <d v="2025-06-12T00:00:00"/>
    <x v="5"/>
    <x v="7"/>
    <x v="0"/>
    <x v="0"/>
    <x v="8"/>
    <n v="7"/>
    <n v="250"/>
    <x v="17"/>
    <n v="1225"/>
    <n v="525"/>
  </r>
  <r>
    <s v="ORD00155"/>
    <d v="2025-03-19T00:00:00"/>
    <x v="10"/>
    <x v="8"/>
    <x v="4"/>
    <x v="0"/>
    <x v="8"/>
    <n v="16"/>
    <n v="250"/>
    <x v="103"/>
    <n v="2880"/>
    <n v="1120"/>
  </r>
  <r>
    <s v="ORD00156"/>
    <d v="2025-12-18T00:00:00"/>
    <x v="1"/>
    <x v="6"/>
    <x v="3"/>
    <x v="2"/>
    <x v="2"/>
    <n v="11"/>
    <n v="45000"/>
    <x v="87"/>
    <n v="386100"/>
    <n v="108900"/>
  </r>
  <r>
    <s v="ORD00157"/>
    <d v="2025-02-07T00:00:00"/>
    <x v="7"/>
    <x v="6"/>
    <x v="1"/>
    <x v="0"/>
    <x v="3"/>
    <n v="3"/>
    <n v="150"/>
    <x v="4"/>
    <n v="315"/>
    <n v="135"/>
  </r>
  <r>
    <s v="ORD00158"/>
    <d v="2025-02-28T00:00:00"/>
    <x v="7"/>
    <x v="2"/>
    <x v="1"/>
    <x v="0"/>
    <x v="12"/>
    <n v="11"/>
    <n v="800"/>
    <x v="104"/>
    <n v="7392"/>
    <n v="1408"/>
  </r>
  <r>
    <s v="ORD00159"/>
    <d v="2025-04-23T00:00:00"/>
    <x v="9"/>
    <x v="3"/>
    <x v="2"/>
    <x v="0"/>
    <x v="12"/>
    <n v="20"/>
    <n v="800"/>
    <x v="21"/>
    <n v="12000"/>
    <n v="4000"/>
  </r>
  <r>
    <s v="ORD00160"/>
    <d v="2025-02-14T00:00:00"/>
    <x v="7"/>
    <x v="6"/>
    <x v="3"/>
    <x v="2"/>
    <x v="15"/>
    <n v="3"/>
    <n v="85000"/>
    <x v="62"/>
    <n v="198900"/>
    <n v="56100"/>
  </r>
  <r>
    <s v="ORD00161"/>
    <d v="2025-07-29T00:00:00"/>
    <x v="11"/>
    <x v="8"/>
    <x v="2"/>
    <x v="1"/>
    <x v="9"/>
    <n v="5"/>
    <n v="22000"/>
    <x v="105"/>
    <n v="89100"/>
    <n v="20900"/>
  </r>
  <r>
    <s v="ORD00162"/>
    <d v="2025-02-04T00:00:00"/>
    <x v="7"/>
    <x v="3"/>
    <x v="3"/>
    <x v="0"/>
    <x v="8"/>
    <n v="15"/>
    <n v="250"/>
    <x v="106"/>
    <n v="3000"/>
    <n v="750"/>
  </r>
  <r>
    <s v="ORD00163"/>
    <d v="2025-01-22T00:00:00"/>
    <x v="2"/>
    <x v="2"/>
    <x v="3"/>
    <x v="2"/>
    <x v="10"/>
    <n v="14"/>
    <n v="2500"/>
    <x v="18"/>
    <n v="28000"/>
    <n v="7000"/>
  </r>
  <r>
    <s v="ORD00164"/>
    <d v="2025-08-27T00:00:00"/>
    <x v="8"/>
    <x v="8"/>
    <x v="4"/>
    <x v="1"/>
    <x v="9"/>
    <n v="20"/>
    <n v="22000"/>
    <x v="66"/>
    <n v="347600"/>
    <n v="92400"/>
  </r>
  <r>
    <s v="ORD00165"/>
    <d v="2025-09-14T00:00:00"/>
    <x v="0"/>
    <x v="9"/>
    <x v="3"/>
    <x v="1"/>
    <x v="9"/>
    <n v="9"/>
    <n v="22000"/>
    <x v="85"/>
    <n v="166320"/>
    <n v="31680"/>
  </r>
  <r>
    <s v="ORD00166"/>
    <d v="2025-01-10T00:00:00"/>
    <x v="2"/>
    <x v="0"/>
    <x v="2"/>
    <x v="1"/>
    <x v="4"/>
    <n v="18"/>
    <n v="5000"/>
    <x v="5"/>
    <n v="69300"/>
    <n v="20700"/>
  </r>
  <r>
    <s v="ORD00167"/>
    <d v="2025-03-22T00:00:00"/>
    <x v="10"/>
    <x v="1"/>
    <x v="2"/>
    <x v="2"/>
    <x v="2"/>
    <n v="10"/>
    <n v="45000"/>
    <x v="47"/>
    <n v="315000"/>
    <n v="135000"/>
  </r>
  <r>
    <s v="ORD00168"/>
    <d v="2025-11-23T00:00:00"/>
    <x v="3"/>
    <x v="2"/>
    <x v="1"/>
    <x v="2"/>
    <x v="16"/>
    <n v="7"/>
    <n v="1500"/>
    <x v="107"/>
    <n v="8295"/>
    <n v="2205"/>
  </r>
  <r>
    <s v="ORD00169"/>
    <d v="2025-02-13T00:00:00"/>
    <x v="7"/>
    <x v="3"/>
    <x v="1"/>
    <x v="1"/>
    <x v="9"/>
    <n v="13"/>
    <n v="22000"/>
    <x v="108"/>
    <n v="220220"/>
    <n v="65780"/>
  </r>
  <r>
    <s v="ORD00170"/>
    <d v="2025-06-08T00:00:00"/>
    <x v="5"/>
    <x v="0"/>
    <x v="4"/>
    <x v="0"/>
    <x v="13"/>
    <n v="14"/>
    <n v="1200"/>
    <x v="91"/>
    <n v="12432"/>
    <n v="4368"/>
  </r>
  <r>
    <s v="ORD00171"/>
    <d v="2025-03-25T00:00:00"/>
    <x v="10"/>
    <x v="0"/>
    <x v="4"/>
    <x v="2"/>
    <x v="15"/>
    <n v="4"/>
    <n v="85000"/>
    <x v="102"/>
    <n v="289000"/>
    <n v="51000"/>
  </r>
  <r>
    <s v="ORD00172"/>
    <d v="2025-05-16T00:00:00"/>
    <x v="6"/>
    <x v="6"/>
    <x v="0"/>
    <x v="0"/>
    <x v="0"/>
    <n v="12"/>
    <n v="300"/>
    <x v="109"/>
    <n v="2988"/>
    <n v="612"/>
  </r>
  <r>
    <s v="ORD00173"/>
    <d v="2025-08-22T00:00:00"/>
    <x v="8"/>
    <x v="8"/>
    <x v="2"/>
    <x v="2"/>
    <x v="6"/>
    <n v="8"/>
    <n v="35000"/>
    <x v="9"/>
    <n v="210000"/>
    <n v="70000"/>
  </r>
  <r>
    <s v="ORD00174"/>
    <d v="2025-09-17T00:00:00"/>
    <x v="0"/>
    <x v="8"/>
    <x v="3"/>
    <x v="2"/>
    <x v="15"/>
    <n v="11"/>
    <n v="85000"/>
    <x v="110"/>
    <n v="710600"/>
    <n v="224400"/>
  </r>
  <r>
    <s v="ORD00175"/>
    <d v="2025-03-29T00:00:00"/>
    <x v="10"/>
    <x v="2"/>
    <x v="0"/>
    <x v="0"/>
    <x v="12"/>
    <n v="2"/>
    <n v="800"/>
    <x v="111"/>
    <n v="1216"/>
    <n v="384"/>
  </r>
  <r>
    <s v="ORD00176"/>
    <d v="2025-01-23T00:00:00"/>
    <x v="2"/>
    <x v="8"/>
    <x v="3"/>
    <x v="2"/>
    <x v="2"/>
    <n v="15"/>
    <n v="45000"/>
    <x v="112"/>
    <n v="533250"/>
    <n v="141750"/>
  </r>
  <r>
    <s v="ORD00177"/>
    <d v="2025-11-27T00:00:00"/>
    <x v="3"/>
    <x v="6"/>
    <x v="0"/>
    <x v="0"/>
    <x v="8"/>
    <n v="8"/>
    <n v="250"/>
    <x v="67"/>
    <n v="1580"/>
    <n v="420"/>
  </r>
  <r>
    <s v="ORD00178"/>
    <d v="2025-09-02T00:00:00"/>
    <x v="0"/>
    <x v="4"/>
    <x v="4"/>
    <x v="2"/>
    <x v="16"/>
    <n v="15"/>
    <n v="1500"/>
    <x v="55"/>
    <n v="17100"/>
    <n v="5400"/>
  </r>
  <r>
    <s v="ORD00179"/>
    <d v="2025-06-29T00:00:00"/>
    <x v="5"/>
    <x v="2"/>
    <x v="0"/>
    <x v="0"/>
    <x v="8"/>
    <n v="4"/>
    <n v="250"/>
    <x v="13"/>
    <n v="770"/>
    <n v="230"/>
  </r>
  <r>
    <s v="ORD00180"/>
    <d v="2025-06-02T00:00:00"/>
    <x v="5"/>
    <x v="5"/>
    <x v="1"/>
    <x v="1"/>
    <x v="11"/>
    <n v="12"/>
    <n v="12000"/>
    <x v="14"/>
    <n v="106560"/>
    <n v="37440"/>
  </r>
  <r>
    <s v="ORD00181"/>
    <d v="2025-08-18T00:00:00"/>
    <x v="8"/>
    <x v="0"/>
    <x v="3"/>
    <x v="1"/>
    <x v="9"/>
    <n v="15"/>
    <n v="22000"/>
    <x v="15"/>
    <n v="254100"/>
    <n v="75900"/>
  </r>
  <r>
    <s v="ORD00182"/>
    <d v="2025-04-21T00:00:00"/>
    <x v="9"/>
    <x v="8"/>
    <x v="0"/>
    <x v="2"/>
    <x v="6"/>
    <n v="15"/>
    <n v="35000"/>
    <x v="113"/>
    <n v="425250"/>
    <n v="99750"/>
  </r>
  <r>
    <s v="ORD00183"/>
    <d v="2025-11-03T00:00:00"/>
    <x v="3"/>
    <x v="6"/>
    <x v="1"/>
    <x v="0"/>
    <x v="13"/>
    <n v="16"/>
    <n v="1200"/>
    <x v="114"/>
    <n v="15360"/>
    <n v="3840"/>
  </r>
  <r>
    <s v="ORD00184"/>
    <d v="2025-03-01T00:00:00"/>
    <x v="10"/>
    <x v="0"/>
    <x v="0"/>
    <x v="2"/>
    <x v="2"/>
    <n v="16"/>
    <n v="45000"/>
    <x v="115"/>
    <n v="518400"/>
    <n v="201600"/>
  </r>
  <r>
    <s v="ORD00185"/>
    <d v="2025-12-09T00:00:00"/>
    <x v="1"/>
    <x v="8"/>
    <x v="1"/>
    <x v="2"/>
    <x v="15"/>
    <n v="17"/>
    <n v="85000"/>
    <x v="116"/>
    <n v="1040400"/>
    <n v="404600"/>
  </r>
  <r>
    <s v="ORD00186"/>
    <d v="2025-12-20T00:00:00"/>
    <x v="1"/>
    <x v="9"/>
    <x v="2"/>
    <x v="1"/>
    <x v="9"/>
    <n v="14"/>
    <n v="22000"/>
    <x v="37"/>
    <n v="255640"/>
    <n v="52360"/>
  </r>
  <r>
    <s v="ORD00187"/>
    <d v="2025-03-27T00:00:00"/>
    <x v="10"/>
    <x v="7"/>
    <x v="4"/>
    <x v="2"/>
    <x v="6"/>
    <n v="19"/>
    <n v="35000"/>
    <x v="77"/>
    <n v="485450"/>
    <n v="179550"/>
  </r>
  <r>
    <s v="ORD00188"/>
    <d v="2025-03-10T00:00:00"/>
    <x v="10"/>
    <x v="1"/>
    <x v="2"/>
    <x v="0"/>
    <x v="0"/>
    <n v="8"/>
    <n v="300"/>
    <x v="32"/>
    <n v="1776"/>
    <n v="624"/>
  </r>
  <r>
    <s v="ORD00189"/>
    <d v="2025-12-03T00:00:00"/>
    <x v="1"/>
    <x v="4"/>
    <x v="3"/>
    <x v="2"/>
    <x v="10"/>
    <n v="15"/>
    <n v="2500"/>
    <x v="117"/>
    <n v="27375"/>
    <n v="10125"/>
  </r>
  <r>
    <s v="ORD00190"/>
    <d v="2025-10-10T00:00:00"/>
    <x v="4"/>
    <x v="6"/>
    <x v="0"/>
    <x v="2"/>
    <x v="14"/>
    <n v="17"/>
    <n v="28000"/>
    <x v="95"/>
    <n v="371280"/>
    <n v="104720"/>
  </r>
  <r>
    <s v="ORD00191"/>
    <d v="2025-02-17T00:00:00"/>
    <x v="7"/>
    <x v="7"/>
    <x v="4"/>
    <x v="2"/>
    <x v="15"/>
    <n v="1"/>
    <n v="85000"/>
    <x v="118"/>
    <n v="70550"/>
    <n v="14450"/>
  </r>
  <r>
    <s v="ORD00192"/>
    <d v="2025-06-08T00:00:00"/>
    <x v="5"/>
    <x v="8"/>
    <x v="4"/>
    <x v="2"/>
    <x v="2"/>
    <n v="13"/>
    <n v="45000"/>
    <x v="119"/>
    <n v="427050"/>
    <n v="157950"/>
  </r>
  <r>
    <s v="ORD00193"/>
    <d v="2025-01-26T00:00:00"/>
    <x v="2"/>
    <x v="7"/>
    <x v="0"/>
    <x v="1"/>
    <x v="7"/>
    <n v="3"/>
    <n v="18000"/>
    <x v="120"/>
    <n v="45360"/>
    <n v="8640"/>
  </r>
  <r>
    <s v="ORD00194"/>
    <d v="2025-04-10T00:00:00"/>
    <x v="9"/>
    <x v="7"/>
    <x v="4"/>
    <x v="1"/>
    <x v="9"/>
    <n v="14"/>
    <n v="22000"/>
    <x v="37"/>
    <n v="249480.00000000003"/>
    <n v="58519.999999999971"/>
  </r>
  <r>
    <s v="ORD00195"/>
    <d v="2025-08-24T00:00:00"/>
    <x v="8"/>
    <x v="0"/>
    <x v="0"/>
    <x v="1"/>
    <x v="4"/>
    <n v="3"/>
    <n v="5000"/>
    <x v="121"/>
    <n v="10650"/>
    <n v="4350"/>
  </r>
  <r>
    <s v="ORD00196"/>
    <d v="2025-04-17T00:00:00"/>
    <x v="9"/>
    <x v="6"/>
    <x v="1"/>
    <x v="0"/>
    <x v="13"/>
    <n v="2"/>
    <n v="1200"/>
    <x v="32"/>
    <n v="1704"/>
    <n v="696"/>
  </r>
  <r>
    <s v="ORD00197"/>
    <d v="2025-09-13T00:00:00"/>
    <x v="0"/>
    <x v="9"/>
    <x v="1"/>
    <x v="1"/>
    <x v="9"/>
    <n v="15"/>
    <n v="22000"/>
    <x v="15"/>
    <n v="273900"/>
    <n v="56100"/>
  </r>
  <r>
    <s v="ORD00198"/>
    <d v="2025-09-22T00:00:00"/>
    <x v="0"/>
    <x v="4"/>
    <x v="0"/>
    <x v="1"/>
    <x v="7"/>
    <n v="16"/>
    <n v="18000"/>
    <x v="10"/>
    <n v="213120"/>
    <n v="74880"/>
  </r>
  <r>
    <s v="ORD00199"/>
    <d v="2025-06-20T00:00:00"/>
    <x v="5"/>
    <x v="2"/>
    <x v="0"/>
    <x v="2"/>
    <x v="5"/>
    <n v="10"/>
    <n v="25000"/>
    <x v="122"/>
    <n v="205000"/>
    <n v="45000"/>
  </r>
  <r>
    <s v="ORD00200"/>
    <d v="2025-02-17T00:00:00"/>
    <x v="7"/>
    <x v="8"/>
    <x v="4"/>
    <x v="0"/>
    <x v="0"/>
    <n v="16"/>
    <n v="300"/>
    <x v="50"/>
    <n v="3840"/>
    <n v="960"/>
  </r>
  <r>
    <s v="ORD00201"/>
    <d v="2025-09-16T00:00:00"/>
    <x v="0"/>
    <x v="5"/>
    <x v="1"/>
    <x v="0"/>
    <x v="13"/>
    <n v="15"/>
    <n v="1200"/>
    <x v="76"/>
    <n v="13500"/>
    <n v="4500"/>
  </r>
  <r>
    <s v="ORD00202"/>
    <d v="2025-10-21T00:00:00"/>
    <x v="4"/>
    <x v="0"/>
    <x v="0"/>
    <x v="0"/>
    <x v="0"/>
    <n v="13"/>
    <n v="300"/>
    <x v="123"/>
    <n v="2886"/>
    <n v="1014"/>
  </r>
  <r>
    <s v="ORD00203"/>
    <d v="2025-04-22T00:00:00"/>
    <x v="9"/>
    <x v="3"/>
    <x v="4"/>
    <x v="2"/>
    <x v="14"/>
    <n v="17"/>
    <n v="28000"/>
    <x v="95"/>
    <n v="385560"/>
    <n v="90440"/>
  </r>
  <r>
    <s v="ORD00204"/>
    <d v="2025-03-29T00:00:00"/>
    <x v="10"/>
    <x v="2"/>
    <x v="1"/>
    <x v="0"/>
    <x v="3"/>
    <n v="3"/>
    <n v="150"/>
    <x v="4"/>
    <n v="355.5"/>
    <n v="94.5"/>
  </r>
  <r>
    <s v="ORD00205"/>
    <d v="2025-02-22T00:00:00"/>
    <x v="7"/>
    <x v="1"/>
    <x v="3"/>
    <x v="0"/>
    <x v="12"/>
    <n v="15"/>
    <n v="800"/>
    <x v="56"/>
    <n v="10200"/>
    <n v="1800"/>
  </r>
  <r>
    <s v="ORD00206"/>
    <d v="2025-01-11T00:00:00"/>
    <x v="2"/>
    <x v="5"/>
    <x v="0"/>
    <x v="1"/>
    <x v="7"/>
    <n v="10"/>
    <n v="18000"/>
    <x v="1"/>
    <n v="147600"/>
    <n v="32400"/>
  </r>
  <r>
    <s v="ORD00207"/>
    <d v="2025-06-07T00:00:00"/>
    <x v="5"/>
    <x v="5"/>
    <x v="1"/>
    <x v="0"/>
    <x v="13"/>
    <n v="4"/>
    <n v="1200"/>
    <x v="50"/>
    <n v="4080"/>
    <n v="720"/>
  </r>
  <r>
    <s v="ORD00208"/>
    <d v="2025-07-07T00:00:00"/>
    <x v="11"/>
    <x v="0"/>
    <x v="4"/>
    <x v="1"/>
    <x v="9"/>
    <n v="12"/>
    <n v="22000"/>
    <x v="124"/>
    <n v="213840"/>
    <n v="50160"/>
  </r>
  <r>
    <s v="ORD00209"/>
    <d v="2025-08-31T00:00:00"/>
    <x v="8"/>
    <x v="9"/>
    <x v="3"/>
    <x v="1"/>
    <x v="4"/>
    <n v="12"/>
    <n v="5000"/>
    <x v="84"/>
    <n v="45600"/>
    <n v="14400"/>
  </r>
  <r>
    <s v="ORD00210"/>
    <d v="2025-06-26T00:00:00"/>
    <x v="5"/>
    <x v="0"/>
    <x v="3"/>
    <x v="0"/>
    <x v="13"/>
    <n v="7"/>
    <n v="1200"/>
    <x v="125"/>
    <n v="5880"/>
    <n v="2520"/>
  </r>
  <r>
    <s v="ORD00211"/>
    <d v="2025-01-10T00:00:00"/>
    <x v="2"/>
    <x v="8"/>
    <x v="0"/>
    <x v="0"/>
    <x v="12"/>
    <n v="20"/>
    <n v="800"/>
    <x v="21"/>
    <n v="13280"/>
    <n v="2720"/>
  </r>
  <r>
    <s v="ORD00212"/>
    <d v="2025-03-03T00:00:00"/>
    <x v="10"/>
    <x v="4"/>
    <x v="0"/>
    <x v="2"/>
    <x v="6"/>
    <n v="14"/>
    <n v="35000"/>
    <x v="126"/>
    <n v="396900"/>
    <n v="93100"/>
  </r>
  <r>
    <s v="ORD00213"/>
    <d v="2025-11-04T00:00:00"/>
    <x v="3"/>
    <x v="0"/>
    <x v="3"/>
    <x v="2"/>
    <x v="2"/>
    <n v="4"/>
    <n v="45000"/>
    <x v="1"/>
    <n v="147600"/>
    <n v="32400"/>
  </r>
  <r>
    <s v="ORD00214"/>
    <d v="2025-09-27T00:00:00"/>
    <x v="0"/>
    <x v="6"/>
    <x v="3"/>
    <x v="2"/>
    <x v="5"/>
    <n v="7"/>
    <n v="25000"/>
    <x v="93"/>
    <n v="140000"/>
    <n v="35000"/>
  </r>
  <r>
    <s v="ORD00215"/>
    <d v="2025-06-15T00:00:00"/>
    <x v="5"/>
    <x v="2"/>
    <x v="2"/>
    <x v="2"/>
    <x v="16"/>
    <n v="13"/>
    <n v="1500"/>
    <x v="127"/>
    <n v="15989.999999999998"/>
    <n v="3510.0000000000018"/>
  </r>
  <r>
    <s v="ORD00216"/>
    <d v="2025-01-05T00:00:00"/>
    <x v="2"/>
    <x v="4"/>
    <x v="4"/>
    <x v="1"/>
    <x v="4"/>
    <n v="6"/>
    <n v="5000"/>
    <x v="128"/>
    <n v="21900"/>
    <n v="8100"/>
  </r>
  <r>
    <s v="ORD00217"/>
    <d v="2025-01-01T00:00:00"/>
    <x v="2"/>
    <x v="7"/>
    <x v="2"/>
    <x v="0"/>
    <x v="3"/>
    <n v="9"/>
    <n v="150"/>
    <x v="129"/>
    <n v="985.5"/>
    <n v="364.5"/>
  </r>
  <r>
    <s v="ORD00218"/>
    <d v="2025-03-07T00:00:00"/>
    <x v="10"/>
    <x v="9"/>
    <x v="3"/>
    <x v="1"/>
    <x v="9"/>
    <n v="2"/>
    <n v="22000"/>
    <x v="130"/>
    <n v="36520"/>
    <n v="7480"/>
  </r>
  <r>
    <s v="ORD00219"/>
    <d v="2025-10-18T00:00:00"/>
    <x v="4"/>
    <x v="8"/>
    <x v="0"/>
    <x v="1"/>
    <x v="9"/>
    <n v="3"/>
    <n v="22000"/>
    <x v="131"/>
    <n v="49500"/>
    <n v="16500"/>
  </r>
  <r>
    <s v="ORD00220"/>
    <d v="2025-06-06T00:00:00"/>
    <x v="5"/>
    <x v="0"/>
    <x v="4"/>
    <x v="1"/>
    <x v="9"/>
    <n v="14"/>
    <n v="22000"/>
    <x v="37"/>
    <n v="246400"/>
    <n v="61600"/>
  </r>
  <r>
    <s v="ORD00221"/>
    <d v="2025-12-21T00:00:00"/>
    <x v="1"/>
    <x v="3"/>
    <x v="3"/>
    <x v="1"/>
    <x v="11"/>
    <n v="6"/>
    <n v="12000"/>
    <x v="132"/>
    <n v="55440"/>
    <n v="16560"/>
  </r>
  <r>
    <s v="ORD00222"/>
    <d v="2025-03-13T00:00:00"/>
    <x v="10"/>
    <x v="3"/>
    <x v="2"/>
    <x v="1"/>
    <x v="1"/>
    <n v="10"/>
    <n v="15000"/>
    <x v="38"/>
    <n v="105000"/>
    <n v="45000"/>
  </r>
  <r>
    <s v="ORD00223"/>
    <d v="2025-07-09T00:00:00"/>
    <x v="11"/>
    <x v="5"/>
    <x v="4"/>
    <x v="2"/>
    <x v="10"/>
    <n v="1"/>
    <n v="2500"/>
    <x v="100"/>
    <n v="2025.0000000000002"/>
    <n v="474.99999999999977"/>
  </r>
  <r>
    <s v="ORD00224"/>
    <d v="2025-03-30T00:00:00"/>
    <x v="10"/>
    <x v="3"/>
    <x v="2"/>
    <x v="2"/>
    <x v="14"/>
    <n v="12"/>
    <n v="28000"/>
    <x v="133"/>
    <n v="252000"/>
    <n v="84000"/>
  </r>
  <r>
    <s v="ORD00225"/>
    <d v="2025-07-18T00:00:00"/>
    <x v="11"/>
    <x v="1"/>
    <x v="0"/>
    <x v="0"/>
    <x v="13"/>
    <n v="12"/>
    <n v="1200"/>
    <x v="134"/>
    <n v="11520"/>
    <n v="2880"/>
  </r>
  <r>
    <s v="ORD00226"/>
    <d v="2025-07-11T00:00:00"/>
    <x v="11"/>
    <x v="7"/>
    <x v="2"/>
    <x v="0"/>
    <x v="13"/>
    <n v="11"/>
    <n v="1200"/>
    <x v="135"/>
    <n v="10956"/>
    <n v="2244"/>
  </r>
  <r>
    <s v="ORD00227"/>
    <d v="2025-02-02T00:00:00"/>
    <x v="7"/>
    <x v="3"/>
    <x v="4"/>
    <x v="2"/>
    <x v="10"/>
    <n v="15"/>
    <n v="2500"/>
    <x v="117"/>
    <n v="31500"/>
    <n v="6000"/>
  </r>
  <r>
    <s v="ORD00228"/>
    <d v="2025-10-06T00:00:00"/>
    <x v="4"/>
    <x v="4"/>
    <x v="3"/>
    <x v="0"/>
    <x v="13"/>
    <n v="2"/>
    <n v="1200"/>
    <x v="32"/>
    <n v="1848"/>
    <n v="552"/>
  </r>
  <r>
    <s v="ORD00229"/>
    <d v="2025-05-02T00:00:00"/>
    <x v="6"/>
    <x v="0"/>
    <x v="2"/>
    <x v="0"/>
    <x v="0"/>
    <n v="19"/>
    <n v="300"/>
    <x v="36"/>
    <n v="4674"/>
    <n v="1026"/>
  </r>
  <r>
    <s v="ORD00230"/>
    <d v="2025-05-02T00:00:00"/>
    <x v="6"/>
    <x v="0"/>
    <x v="1"/>
    <x v="0"/>
    <x v="12"/>
    <n v="3"/>
    <n v="800"/>
    <x v="32"/>
    <n v="2016"/>
    <n v="384"/>
  </r>
  <r>
    <s v="ORD00231"/>
    <d v="2025-07-16T00:00:00"/>
    <x v="11"/>
    <x v="7"/>
    <x v="0"/>
    <x v="1"/>
    <x v="1"/>
    <n v="20"/>
    <n v="15000"/>
    <x v="64"/>
    <n v="216000"/>
    <n v="84000"/>
  </r>
  <r>
    <s v="ORD00232"/>
    <d v="2025-05-15T00:00:00"/>
    <x v="6"/>
    <x v="2"/>
    <x v="3"/>
    <x v="2"/>
    <x v="15"/>
    <n v="8"/>
    <n v="85000"/>
    <x v="136"/>
    <n v="503200"/>
    <n v="176800"/>
  </r>
  <r>
    <s v="ORD00233"/>
    <d v="2025-03-29T00:00:00"/>
    <x v="10"/>
    <x v="7"/>
    <x v="2"/>
    <x v="2"/>
    <x v="16"/>
    <n v="19"/>
    <n v="1500"/>
    <x v="137"/>
    <n v="20520"/>
    <n v="7980"/>
  </r>
  <r>
    <s v="ORD00234"/>
    <d v="2025-08-20T00:00:00"/>
    <x v="8"/>
    <x v="5"/>
    <x v="3"/>
    <x v="2"/>
    <x v="15"/>
    <n v="7"/>
    <n v="85000"/>
    <x v="138"/>
    <n v="452200"/>
    <n v="142800"/>
  </r>
  <r>
    <s v="ORD00235"/>
    <d v="2025-04-14T00:00:00"/>
    <x v="9"/>
    <x v="4"/>
    <x v="3"/>
    <x v="1"/>
    <x v="7"/>
    <n v="7"/>
    <n v="18000"/>
    <x v="139"/>
    <n v="89460"/>
    <n v="36540"/>
  </r>
  <r>
    <s v="ORD00236"/>
    <d v="2025-11-10T00:00:00"/>
    <x v="3"/>
    <x v="9"/>
    <x v="1"/>
    <x v="0"/>
    <x v="0"/>
    <n v="19"/>
    <n v="300"/>
    <x v="36"/>
    <n v="4161"/>
    <n v="1539"/>
  </r>
  <r>
    <s v="ORD00237"/>
    <d v="2025-05-01T00:00:00"/>
    <x v="6"/>
    <x v="2"/>
    <x v="0"/>
    <x v="1"/>
    <x v="7"/>
    <n v="7"/>
    <n v="18000"/>
    <x v="139"/>
    <n v="98280"/>
    <n v="27720"/>
  </r>
  <r>
    <s v="ORD00238"/>
    <d v="2025-07-10T00:00:00"/>
    <x v="11"/>
    <x v="8"/>
    <x v="3"/>
    <x v="2"/>
    <x v="14"/>
    <n v="17"/>
    <n v="28000"/>
    <x v="95"/>
    <n v="380800"/>
    <n v="95200"/>
  </r>
  <r>
    <s v="ORD00239"/>
    <d v="2025-10-31T00:00:00"/>
    <x v="4"/>
    <x v="0"/>
    <x v="2"/>
    <x v="1"/>
    <x v="1"/>
    <n v="19"/>
    <n v="15000"/>
    <x v="140"/>
    <n v="219450"/>
    <n v="65550"/>
  </r>
  <r>
    <s v="ORD00240"/>
    <d v="2025-12-21T00:00:00"/>
    <x v="1"/>
    <x v="2"/>
    <x v="1"/>
    <x v="0"/>
    <x v="12"/>
    <n v="18"/>
    <n v="800"/>
    <x v="134"/>
    <n v="12240"/>
    <n v="2160"/>
  </r>
  <r>
    <s v="ORD00241"/>
    <d v="2025-03-15T00:00:00"/>
    <x v="10"/>
    <x v="3"/>
    <x v="2"/>
    <x v="0"/>
    <x v="13"/>
    <n v="5"/>
    <n v="1200"/>
    <x v="141"/>
    <n v="4680"/>
    <n v="1320"/>
  </r>
  <r>
    <s v="ORD00242"/>
    <d v="2025-12-05T00:00:00"/>
    <x v="1"/>
    <x v="8"/>
    <x v="2"/>
    <x v="0"/>
    <x v="12"/>
    <n v="8"/>
    <n v="800"/>
    <x v="63"/>
    <n v="5184"/>
    <n v="1216"/>
  </r>
  <r>
    <s v="ORD00243"/>
    <d v="2025-04-03T00:00:00"/>
    <x v="9"/>
    <x v="0"/>
    <x v="4"/>
    <x v="2"/>
    <x v="15"/>
    <n v="15"/>
    <n v="85000"/>
    <x v="69"/>
    <n v="981750"/>
    <n v="293250"/>
  </r>
  <r>
    <s v="ORD00244"/>
    <d v="2025-06-29T00:00:00"/>
    <x v="5"/>
    <x v="2"/>
    <x v="3"/>
    <x v="2"/>
    <x v="16"/>
    <n v="3"/>
    <n v="1500"/>
    <x v="51"/>
    <n v="3645.0000000000005"/>
    <n v="854.99999999999955"/>
  </r>
  <r>
    <s v="ORD00245"/>
    <d v="2025-04-10T00:00:00"/>
    <x v="9"/>
    <x v="4"/>
    <x v="2"/>
    <x v="0"/>
    <x v="3"/>
    <n v="15"/>
    <n v="150"/>
    <x v="25"/>
    <n v="1710"/>
    <n v="540"/>
  </r>
  <r>
    <s v="ORD00246"/>
    <d v="2025-07-05T00:00:00"/>
    <x v="11"/>
    <x v="9"/>
    <x v="4"/>
    <x v="1"/>
    <x v="7"/>
    <n v="10"/>
    <n v="18000"/>
    <x v="1"/>
    <n v="147600"/>
    <n v="32400"/>
  </r>
  <r>
    <s v="ORD00247"/>
    <d v="2025-11-04T00:00:00"/>
    <x v="3"/>
    <x v="2"/>
    <x v="3"/>
    <x v="0"/>
    <x v="8"/>
    <n v="14"/>
    <n v="250"/>
    <x v="142"/>
    <n v="2905"/>
    <n v="595"/>
  </r>
  <r>
    <s v="ORD00248"/>
    <d v="2025-09-13T00:00:00"/>
    <x v="0"/>
    <x v="0"/>
    <x v="4"/>
    <x v="1"/>
    <x v="9"/>
    <n v="18"/>
    <n v="22000"/>
    <x v="44"/>
    <n v="320760"/>
    <n v="75240"/>
  </r>
  <r>
    <s v="ORD00249"/>
    <d v="2025-11-19T00:00:00"/>
    <x v="3"/>
    <x v="6"/>
    <x v="2"/>
    <x v="0"/>
    <x v="3"/>
    <n v="5"/>
    <n v="150"/>
    <x v="143"/>
    <n v="615"/>
    <n v="135"/>
  </r>
  <r>
    <s v="ORD00250"/>
    <d v="2025-01-31T00:00:00"/>
    <x v="2"/>
    <x v="0"/>
    <x v="4"/>
    <x v="2"/>
    <x v="15"/>
    <n v="19"/>
    <n v="85000"/>
    <x v="74"/>
    <n v="1340450"/>
    <n v="274550"/>
  </r>
  <r>
    <s v="ORD00251"/>
    <d v="2025-11-08T00:00:00"/>
    <x v="3"/>
    <x v="0"/>
    <x v="1"/>
    <x v="0"/>
    <x v="8"/>
    <n v="4"/>
    <n v="250"/>
    <x v="13"/>
    <n v="710"/>
    <n v="290"/>
  </r>
  <r>
    <s v="ORD00252"/>
    <d v="2025-05-12T00:00:00"/>
    <x v="6"/>
    <x v="2"/>
    <x v="4"/>
    <x v="2"/>
    <x v="16"/>
    <n v="3"/>
    <n v="1500"/>
    <x v="51"/>
    <n v="3780"/>
    <n v="720"/>
  </r>
  <r>
    <s v="ORD00253"/>
    <d v="2025-02-04T00:00:00"/>
    <x v="7"/>
    <x v="0"/>
    <x v="4"/>
    <x v="2"/>
    <x v="15"/>
    <n v="19"/>
    <n v="85000"/>
    <x v="74"/>
    <n v="1146650"/>
    <n v="468350"/>
  </r>
  <r>
    <s v="ORD00254"/>
    <d v="2025-03-26T00:00:00"/>
    <x v="10"/>
    <x v="2"/>
    <x v="4"/>
    <x v="0"/>
    <x v="12"/>
    <n v="6"/>
    <n v="800"/>
    <x v="50"/>
    <n v="3648"/>
    <n v="1152"/>
  </r>
  <r>
    <s v="ORD00255"/>
    <d v="2025-09-05T00:00:00"/>
    <x v="0"/>
    <x v="1"/>
    <x v="2"/>
    <x v="0"/>
    <x v="12"/>
    <n v="17"/>
    <n v="800"/>
    <x v="41"/>
    <n v="9656"/>
    <n v="3944"/>
  </r>
  <r>
    <s v="ORD00256"/>
    <d v="2025-06-25T00:00:00"/>
    <x v="5"/>
    <x v="1"/>
    <x v="4"/>
    <x v="0"/>
    <x v="0"/>
    <n v="5"/>
    <n v="300"/>
    <x v="92"/>
    <n v="1065"/>
    <n v="435"/>
  </r>
  <r>
    <s v="ORD00257"/>
    <d v="2025-10-20T00:00:00"/>
    <x v="4"/>
    <x v="6"/>
    <x v="4"/>
    <x v="0"/>
    <x v="12"/>
    <n v="1"/>
    <n v="800"/>
    <x v="53"/>
    <n v="624"/>
    <n v="176"/>
  </r>
  <r>
    <s v="ORD00258"/>
    <d v="2025-05-11T00:00:00"/>
    <x v="6"/>
    <x v="5"/>
    <x v="2"/>
    <x v="2"/>
    <x v="10"/>
    <n v="8"/>
    <n v="2500"/>
    <x v="144"/>
    <n v="15000"/>
    <n v="5000"/>
  </r>
  <r>
    <s v="ORD00259"/>
    <d v="2025-07-15T00:00:00"/>
    <x v="11"/>
    <x v="1"/>
    <x v="1"/>
    <x v="0"/>
    <x v="13"/>
    <n v="1"/>
    <n v="1200"/>
    <x v="29"/>
    <n v="852"/>
    <n v="348"/>
  </r>
  <r>
    <s v="ORD00260"/>
    <d v="2025-01-07T00:00:00"/>
    <x v="2"/>
    <x v="3"/>
    <x v="0"/>
    <x v="0"/>
    <x v="3"/>
    <n v="2"/>
    <n v="150"/>
    <x v="145"/>
    <n v="245.99999999999997"/>
    <n v="54.000000000000028"/>
  </r>
  <r>
    <s v="ORD00261"/>
    <d v="2025-02-16T00:00:00"/>
    <x v="7"/>
    <x v="3"/>
    <x v="2"/>
    <x v="1"/>
    <x v="11"/>
    <n v="18"/>
    <n v="12000"/>
    <x v="146"/>
    <n v="181440"/>
    <n v="34560"/>
  </r>
  <r>
    <s v="ORD00262"/>
    <d v="2025-10-12T00:00:00"/>
    <x v="4"/>
    <x v="4"/>
    <x v="4"/>
    <x v="0"/>
    <x v="13"/>
    <n v="16"/>
    <n v="1200"/>
    <x v="114"/>
    <n v="15168"/>
    <n v="4032"/>
  </r>
  <r>
    <s v="ORD00263"/>
    <d v="2025-02-14T00:00:00"/>
    <x v="7"/>
    <x v="2"/>
    <x v="0"/>
    <x v="2"/>
    <x v="10"/>
    <n v="18"/>
    <n v="2500"/>
    <x v="28"/>
    <n v="36450"/>
    <n v="8550"/>
  </r>
  <r>
    <s v="ORD00264"/>
    <d v="2025-04-05T00:00:00"/>
    <x v="9"/>
    <x v="1"/>
    <x v="0"/>
    <x v="2"/>
    <x v="2"/>
    <n v="12"/>
    <n v="45000"/>
    <x v="147"/>
    <n v="453600"/>
    <n v="86400"/>
  </r>
  <r>
    <s v="ORD00265"/>
    <d v="2025-09-20T00:00:00"/>
    <x v="0"/>
    <x v="5"/>
    <x v="0"/>
    <x v="1"/>
    <x v="1"/>
    <n v="1"/>
    <n v="15000"/>
    <x v="121"/>
    <n v="11100"/>
    <n v="3900"/>
  </r>
  <r>
    <s v="ORD00266"/>
    <d v="2025-06-12T00:00:00"/>
    <x v="5"/>
    <x v="3"/>
    <x v="0"/>
    <x v="1"/>
    <x v="4"/>
    <n v="14"/>
    <n v="5000"/>
    <x v="148"/>
    <n v="51800"/>
    <n v="18200"/>
  </r>
  <r>
    <s v="ORD00267"/>
    <d v="2025-08-28T00:00:00"/>
    <x v="8"/>
    <x v="7"/>
    <x v="3"/>
    <x v="0"/>
    <x v="3"/>
    <n v="9"/>
    <n v="150"/>
    <x v="129"/>
    <n v="944.99999999999989"/>
    <n v="405.00000000000011"/>
  </r>
  <r>
    <s v="ORD00268"/>
    <d v="2025-09-08T00:00:00"/>
    <x v="0"/>
    <x v="4"/>
    <x v="3"/>
    <x v="1"/>
    <x v="7"/>
    <n v="10"/>
    <n v="18000"/>
    <x v="1"/>
    <n v="144000"/>
    <n v="36000"/>
  </r>
  <r>
    <s v="ORD00269"/>
    <d v="2025-02-21T00:00:00"/>
    <x v="7"/>
    <x v="5"/>
    <x v="0"/>
    <x v="0"/>
    <x v="3"/>
    <n v="4"/>
    <n v="150"/>
    <x v="0"/>
    <n v="444"/>
    <n v="156"/>
  </r>
  <r>
    <s v="ORD00270"/>
    <d v="2025-02-06T00:00:00"/>
    <x v="7"/>
    <x v="7"/>
    <x v="1"/>
    <x v="0"/>
    <x v="12"/>
    <n v="4"/>
    <n v="800"/>
    <x v="58"/>
    <n v="2464"/>
    <n v="736"/>
  </r>
  <r>
    <s v="ORD00271"/>
    <d v="2025-01-10T00:00:00"/>
    <x v="2"/>
    <x v="3"/>
    <x v="1"/>
    <x v="0"/>
    <x v="0"/>
    <n v="15"/>
    <n v="300"/>
    <x v="51"/>
    <n v="3375"/>
    <n v="1125"/>
  </r>
  <r>
    <s v="ORD00272"/>
    <d v="2025-06-15T00:00:00"/>
    <x v="5"/>
    <x v="0"/>
    <x v="0"/>
    <x v="2"/>
    <x v="6"/>
    <n v="11"/>
    <n v="35000"/>
    <x v="149"/>
    <n v="269500"/>
    <n v="115500"/>
  </r>
  <r>
    <s v="ORD00273"/>
    <d v="2025-02-28T00:00:00"/>
    <x v="7"/>
    <x v="9"/>
    <x v="4"/>
    <x v="2"/>
    <x v="6"/>
    <n v="14"/>
    <n v="35000"/>
    <x v="126"/>
    <n v="401800"/>
    <n v="88200"/>
  </r>
  <r>
    <s v="ORD00274"/>
    <d v="2025-02-22T00:00:00"/>
    <x v="7"/>
    <x v="9"/>
    <x v="3"/>
    <x v="2"/>
    <x v="10"/>
    <n v="17"/>
    <n v="2500"/>
    <x v="150"/>
    <n v="34850"/>
    <n v="7650"/>
  </r>
  <r>
    <s v="ORD00275"/>
    <d v="2025-10-26T00:00:00"/>
    <x v="4"/>
    <x v="0"/>
    <x v="2"/>
    <x v="1"/>
    <x v="7"/>
    <n v="14"/>
    <n v="18000"/>
    <x v="22"/>
    <n v="181440"/>
    <n v="70560"/>
  </r>
  <r>
    <s v="ORD00276"/>
    <d v="2025-07-26T00:00:00"/>
    <x v="11"/>
    <x v="7"/>
    <x v="0"/>
    <x v="1"/>
    <x v="9"/>
    <n v="1"/>
    <n v="22000"/>
    <x v="151"/>
    <n v="16280"/>
    <n v="5720"/>
  </r>
  <r>
    <s v="ORD00277"/>
    <d v="2025-01-08T00:00:00"/>
    <x v="2"/>
    <x v="7"/>
    <x v="1"/>
    <x v="0"/>
    <x v="0"/>
    <n v="13"/>
    <n v="300"/>
    <x v="123"/>
    <n v="3042"/>
    <n v="858"/>
  </r>
  <r>
    <s v="ORD00278"/>
    <d v="2025-06-25T00:00:00"/>
    <x v="5"/>
    <x v="3"/>
    <x v="1"/>
    <x v="0"/>
    <x v="3"/>
    <n v="19"/>
    <n v="150"/>
    <x v="152"/>
    <n v="2337"/>
    <n v="513"/>
  </r>
  <r>
    <s v="ORD00279"/>
    <d v="2025-08-20T00:00:00"/>
    <x v="8"/>
    <x v="7"/>
    <x v="0"/>
    <x v="1"/>
    <x v="1"/>
    <n v="7"/>
    <n v="15000"/>
    <x v="153"/>
    <n v="88200"/>
    <n v="16800"/>
  </r>
  <r>
    <s v="ORD00280"/>
    <d v="2025-06-14T00:00:00"/>
    <x v="5"/>
    <x v="5"/>
    <x v="1"/>
    <x v="2"/>
    <x v="6"/>
    <n v="9"/>
    <n v="35000"/>
    <x v="154"/>
    <n v="233100"/>
    <n v="81900"/>
  </r>
  <r>
    <s v="ORD00281"/>
    <d v="2025-10-11T00:00:00"/>
    <x v="4"/>
    <x v="6"/>
    <x v="3"/>
    <x v="2"/>
    <x v="14"/>
    <n v="12"/>
    <n v="28000"/>
    <x v="133"/>
    <n v="245280"/>
    <n v="90720"/>
  </r>
  <r>
    <s v="ORD00282"/>
    <d v="2025-07-17T00:00:00"/>
    <x v="11"/>
    <x v="2"/>
    <x v="4"/>
    <x v="1"/>
    <x v="1"/>
    <n v="14"/>
    <n v="15000"/>
    <x v="60"/>
    <n v="151200"/>
    <n v="58800"/>
  </r>
  <r>
    <s v="ORD00283"/>
    <d v="2025-12-19T00:00:00"/>
    <x v="1"/>
    <x v="8"/>
    <x v="4"/>
    <x v="1"/>
    <x v="7"/>
    <n v="11"/>
    <n v="18000"/>
    <x v="85"/>
    <n v="164340"/>
    <n v="33660"/>
  </r>
  <r>
    <s v="ORD00284"/>
    <d v="2025-01-07T00:00:00"/>
    <x v="2"/>
    <x v="4"/>
    <x v="0"/>
    <x v="0"/>
    <x v="13"/>
    <n v="10"/>
    <n v="1200"/>
    <x v="56"/>
    <n v="9720"/>
    <n v="2280"/>
  </r>
  <r>
    <s v="ORD00285"/>
    <d v="2025-02-13T00:00:00"/>
    <x v="7"/>
    <x v="5"/>
    <x v="4"/>
    <x v="0"/>
    <x v="8"/>
    <n v="10"/>
    <n v="250"/>
    <x v="100"/>
    <n v="2050"/>
    <n v="450"/>
  </r>
  <r>
    <s v="ORD00286"/>
    <d v="2025-11-14T00:00:00"/>
    <x v="3"/>
    <x v="4"/>
    <x v="3"/>
    <x v="0"/>
    <x v="0"/>
    <n v="4"/>
    <n v="300"/>
    <x v="29"/>
    <n v="972.00000000000011"/>
    <n v="227.99999999999989"/>
  </r>
  <r>
    <s v="ORD00287"/>
    <d v="2025-08-06T00:00:00"/>
    <x v="8"/>
    <x v="6"/>
    <x v="0"/>
    <x v="0"/>
    <x v="12"/>
    <n v="15"/>
    <n v="800"/>
    <x v="56"/>
    <n v="8760"/>
    <n v="3240"/>
  </r>
  <r>
    <s v="ORD00288"/>
    <d v="2025-12-03T00:00:00"/>
    <x v="1"/>
    <x v="7"/>
    <x v="3"/>
    <x v="2"/>
    <x v="16"/>
    <n v="3"/>
    <n v="1500"/>
    <x v="51"/>
    <n v="3690"/>
    <n v="810"/>
  </r>
  <r>
    <s v="ORD00289"/>
    <d v="2025-11-25T00:00:00"/>
    <x v="3"/>
    <x v="1"/>
    <x v="4"/>
    <x v="1"/>
    <x v="7"/>
    <n v="5"/>
    <n v="18000"/>
    <x v="5"/>
    <n v="66600"/>
    <n v="23400"/>
  </r>
  <r>
    <s v="ORD00290"/>
    <d v="2025-04-10T00:00:00"/>
    <x v="9"/>
    <x v="2"/>
    <x v="3"/>
    <x v="2"/>
    <x v="16"/>
    <n v="15"/>
    <n v="1500"/>
    <x v="55"/>
    <n v="16200"/>
    <n v="6300"/>
  </r>
  <r>
    <s v="ORD00291"/>
    <d v="2025-02-08T00:00:00"/>
    <x v="7"/>
    <x v="5"/>
    <x v="0"/>
    <x v="2"/>
    <x v="5"/>
    <n v="2"/>
    <n v="25000"/>
    <x v="11"/>
    <n v="38000"/>
    <n v="12000"/>
  </r>
  <r>
    <s v="ORD00292"/>
    <d v="2025-02-22T00:00:00"/>
    <x v="7"/>
    <x v="8"/>
    <x v="4"/>
    <x v="2"/>
    <x v="5"/>
    <n v="3"/>
    <n v="25000"/>
    <x v="46"/>
    <n v="62250"/>
    <n v="12750"/>
  </r>
  <r>
    <s v="ORD00293"/>
    <d v="2025-10-13T00:00:00"/>
    <x v="4"/>
    <x v="6"/>
    <x v="0"/>
    <x v="2"/>
    <x v="15"/>
    <n v="4"/>
    <n v="85000"/>
    <x v="102"/>
    <n v="237999.99999999997"/>
    <n v="102000.00000000003"/>
  </r>
  <r>
    <s v="ORD00294"/>
    <d v="2025-05-10T00:00:00"/>
    <x v="6"/>
    <x v="3"/>
    <x v="3"/>
    <x v="2"/>
    <x v="10"/>
    <n v="4"/>
    <n v="2500"/>
    <x v="20"/>
    <n v="7400"/>
    <n v="2600"/>
  </r>
  <r>
    <s v="ORD00295"/>
    <d v="2025-08-28T00:00:00"/>
    <x v="8"/>
    <x v="7"/>
    <x v="3"/>
    <x v="0"/>
    <x v="0"/>
    <n v="8"/>
    <n v="300"/>
    <x v="32"/>
    <n v="1944.0000000000002"/>
    <n v="455.99999999999977"/>
  </r>
  <r>
    <s v="ORD00296"/>
    <d v="2025-08-29T00:00:00"/>
    <x v="8"/>
    <x v="2"/>
    <x v="0"/>
    <x v="1"/>
    <x v="4"/>
    <n v="9"/>
    <n v="5000"/>
    <x v="28"/>
    <n v="35100"/>
    <n v="9900"/>
  </r>
  <r>
    <s v="ORD00297"/>
    <d v="2025-05-22T00:00:00"/>
    <x v="6"/>
    <x v="2"/>
    <x v="0"/>
    <x v="0"/>
    <x v="12"/>
    <n v="20"/>
    <n v="800"/>
    <x v="21"/>
    <n v="11840"/>
    <n v="4160"/>
  </r>
  <r>
    <s v="ORD00298"/>
    <d v="2025-09-17T00:00:00"/>
    <x v="0"/>
    <x v="8"/>
    <x v="0"/>
    <x v="1"/>
    <x v="11"/>
    <n v="10"/>
    <n v="12000"/>
    <x v="155"/>
    <n v="98400"/>
    <n v="21600"/>
  </r>
  <r>
    <s v="ORD00299"/>
    <d v="2025-02-17T00:00:00"/>
    <x v="7"/>
    <x v="2"/>
    <x v="1"/>
    <x v="1"/>
    <x v="9"/>
    <n v="17"/>
    <n v="22000"/>
    <x v="156"/>
    <n v="317900"/>
    <n v="56100"/>
  </r>
  <r>
    <s v="ORD00300"/>
    <d v="2025-09-12T00:00:00"/>
    <x v="0"/>
    <x v="3"/>
    <x v="4"/>
    <x v="0"/>
    <x v="0"/>
    <n v="5"/>
    <n v="300"/>
    <x v="92"/>
    <n v="1215"/>
    <n v="285"/>
  </r>
  <r>
    <s v="ORD00301"/>
    <d v="2025-08-15T00:00:00"/>
    <x v="8"/>
    <x v="5"/>
    <x v="0"/>
    <x v="2"/>
    <x v="10"/>
    <n v="20"/>
    <n v="2500"/>
    <x v="11"/>
    <n v="41500"/>
    <n v="8500"/>
  </r>
  <r>
    <s v="ORD00302"/>
    <d v="2025-03-15T00:00:00"/>
    <x v="10"/>
    <x v="9"/>
    <x v="0"/>
    <x v="0"/>
    <x v="3"/>
    <n v="1"/>
    <n v="150"/>
    <x v="40"/>
    <n v="120"/>
    <n v="30"/>
  </r>
  <r>
    <s v="ORD00303"/>
    <d v="2025-03-08T00:00:00"/>
    <x v="10"/>
    <x v="3"/>
    <x v="2"/>
    <x v="2"/>
    <x v="2"/>
    <n v="12"/>
    <n v="45000"/>
    <x v="147"/>
    <n v="405000"/>
    <n v="135000"/>
  </r>
  <r>
    <s v="ORD00304"/>
    <d v="2025-02-19T00:00:00"/>
    <x v="7"/>
    <x v="5"/>
    <x v="4"/>
    <x v="1"/>
    <x v="11"/>
    <n v="9"/>
    <n v="12000"/>
    <x v="75"/>
    <n v="77760"/>
    <n v="30240"/>
  </r>
  <r>
    <s v="ORD00305"/>
    <d v="2025-01-12T00:00:00"/>
    <x v="2"/>
    <x v="9"/>
    <x v="0"/>
    <x v="0"/>
    <x v="13"/>
    <n v="18"/>
    <n v="1200"/>
    <x v="157"/>
    <n v="17280"/>
    <n v="4320"/>
  </r>
  <r>
    <s v="ORD00306"/>
    <d v="2025-11-17T00:00:00"/>
    <x v="3"/>
    <x v="5"/>
    <x v="1"/>
    <x v="0"/>
    <x v="12"/>
    <n v="1"/>
    <n v="800"/>
    <x v="53"/>
    <n v="664"/>
    <n v="136"/>
  </r>
  <r>
    <s v="ORD00307"/>
    <d v="2025-02-24T00:00:00"/>
    <x v="7"/>
    <x v="6"/>
    <x v="3"/>
    <x v="2"/>
    <x v="2"/>
    <n v="11"/>
    <n v="45000"/>
    <x v="87"/>
    <n v="371250"/>
    <n v="123750"/>
  </r>
  <r>
    <s v="ORD00308"/>
    <d v="2025-09-05T00:00:00"/>
    <x v="0"/>
    <x v="3"/>
    <x v="3"/>
    <x v="2"/>
    <x v="10"/>
    <n v="13"/>
    <n v="2500"/>
    <x v="158"/>
    <n v="24375"/>
    <n v="8125"/>
  </r>
  <r>
    <s v="ORD00309"/>
    <d v="2025-12-02T00:00:00"/>
    <x v="1"/>
    <x v="0"/>
    <x v="2"/>
    <x v="2"/>
    <x v="14"/>
    <n v="3"/>
    <n v="28000"/>
    <x v="101"/>
    <n v="63840"/>
    <n v="20160"/>
  </r>
  <r>
    <s v="ORD00310"/>
    <d v="2025-10-03T00:00:00"/>
    <x v="4"/>
    <x v="9"/>
    <x v="4"/>
    <x v="2"/>
    <x v="2"/>
    <n v="1"/>
    <n v="45000"/>
    <x v="28"/>
    <n v="36450"/>
    <n v="8550"/>
  </r>
  <r>
    <s v="ORD00311"/>
    <d v="2025-11-02T00:00:00"/>
    <x v="3"/>
    <x v="1"/>
    <x v="3"/>
    <x v="1"/>
    <x v="7"/>
    <n v="11"/>
    <n v="18000"/>
    <x v="85"/>
    <n v="140580"/>
    <n v="57420"/>
  </r>
  <r>
    <s v="ORD00312"/>
    <d v="2025-05-28T00:00:00"/>
    <x v="6"/>
    <x v="4"/>
    <x v="1"/>
    <x v="1"/>
    <x v="4"/>
    <n v="15"/>
    <n v="5000"/>
    <x v="46"/>
    <n v="57000"/>
    <n v="18000"/>
  </r>
  <r>
    <s v="ORD00313"/>
    <d v="2025-07-25T00:00:00"/>
    <x v="11"/>
    <x v="1"/>
    <x v="1"/>
    <x v="2"/>
    <x v="15"/>
    <n v="16"/>
    <n v="85000"/>
    <x v="159"/>
    <n v="1060800"/>
    <n v="299200"/>
  </r>
  <r>
    <s v="ORD00314"/>
    <d v="2025-07-13T00:00:00"/>
    <x v="11"/>
    <x v="7"/>
    <x v="2"/>
    <x v="2"/>
    <x v="6"/>
    <n v="3"/>
    <n v="35000"/>
    <x v="153"/>
    <n v="79800"/>
    <n v="25200"/>
  </r>
  <r>
    <s v="ORD00315"/>
    <d v="2025-03-28T00:00:00"/>
    <x v="10"/>
    <x v="6"/>
    <x v="3"/>
    <x v="2"/>
    <x v="2"/>
    <n v="9"/>
    <n v="45000"/>
    <x v="160"/>
    <n v="311850"/>
    <n v="93150"/>
  </r>
  <r>
    <s v="ORD00316"/>
    <d v="2025-07-11T00:00:00"/>
    <x v="11"/>
    <x v="6"/>
    <x v="1"/>
    <x v="1"/>
    <x v="9"/>
    <n v="10"/>
    <n v="22000"/>
    <x v="161"/>
    <n v="184800"/>
    <n v="35200"/>
  </r>
  <r>
    <s v="ORD00317"/>
    <d v="2025-02-22T00:00:00"/>
    <x v="7"/>
    <x v="4"/>
    <x v="4"/>
    <x v="2"/>
    <x v="6"/>
    <n v="1"/>
    <n v="35000"/>
    <x v="18"/>
    <n v="29050"/>
    <n v="5950"/>
  </r>
  <r>
    <s v="ORD00318"/>
    <d v="2025-09-27T00:00:00"/>
    <x v="0"/>
    <x v="1"/>
    <x v="2"/>
    <x v="1"/>
    <x v="4"/>
    <n v="1"/>
    <n v="5000"/>
    <x v="162"/>
    <n v="4000"/>
    <n v="1000"/>
  </r>
  <r>
    <s v="ORD00319"/>
    <d v="2025-09-09T00:00:00"/>
    <x v="0"/>
    <x v="1"/>
    <x v="1"/>
    <x v="2"/>
    <x v="14"/>
    <n v="19"/>
    <n v="28000"/>
    <x v="163"/>
    <n v="425600"/>
    <n v="106400"/>
  </r>
  <r>
    <s v="ORD00320"/>
    <d v="2025-01-06T00:00:00"/>
    <x v="2"/>
    <x v="4"/>
    <x v="3"/>
    <x v="1"/>
    <x v="7"/>
    <n v="16"/>
    <n v="18000"/>
    <x v="10"/>
    <n v="241920"/>
    <n v="46080"/>
  </r>
  <r>
    <s v="ORD00321"/>
    <d v="2025-08-07T00:00:00"/>
    <x v="8"/>
    <x v="7"/>
    <x v="1"/>
    <x v="1"/>
    <x v="4"/>
    <n v="7"/>
    <n v="5000"/>
    <x v="18"/>
    <n v="25900"/>
    <n v="9100"/>
  </r>
  <r>
    <s v="ORD00322"/>
    <d v="2025-07-08T00:00:00"/>
    <x v="11"/>
    <x v="2"/>
    <x v="2"/>
    <x v="2"/>
    <x v="15"/>
    <n v="12"/>
    <n v="85000"/>
    <x v="42"/>
    <n v="826200"/>
    <n v="193800"/>
  </r>
  <r>
    <s v="ORD00323"/>
    <d v="2025-11-27T00:00:00"/>
    <x v="3"/>
    <x v="3"/>
    <x v="0"/>
    <x v="1"/>
    <x v="1"/>
    <n v="19"/>
    <n v="15000"/>
    <x v="140"/>
    <n v="242250"/>
    <n v="42750"/>
  </r>
  <r>
    <s v="ORD00324"/>
    <d v="2025-12-18T00:00:00"/>
    <x v="1"/>
    <x v="0"/>
    <x v="2"/>
    <x v="2"/>
    <x v="10"/>
    <n v="18"/>
    <n v="2500"/>
    <x v="28"/>
    <n v="36450"/>
    <n v="8550"/>
  </r>
  <r>
    <s v="ORD00325"/>
    <d v="2025-11-12T00:00:00"/>
    <x v="3"/>
    <x v="5"/>
    <x v="3"/>
    <x v="2"/>
    <x v="6"/>
    <n v="8"/>
    <n v="35000"/>
    <x v="9"/>
    <n v="204400"/>
    <n v="75600"/>
  </r>
  <r>
    <s v="ORD00326"/>
    <d v="2025-03-15T00:00:00"/>
    <x v="10"/>
    <x v="2"/>
    <x v="3"/>
    <x v="0"/>
    <x v="0"/>
    <n v="3"/>
    <n v="300"/>
    <x v="164"/>
    <n v="657"/>
    <n v="243"/>
  </r>
  <r>
    <s v="ORD00327"/>
    <d v="2025-06-09T00:00:00"/>
    <x v="5"/>
    <x v="8"/>
    <x v="2"/>
    <x v="1"/>
    <x v="7"/>
    <n v="2"/>
    <n v="18000"/>
    <x v="45"/>
    <n v="29160.000000000004"/>
    <n v="6839.9999999999964"/>
  </r>
  <r>
    <s v="ORD00328"/>
    <d v="2025-01-03T00:00:00"/>
    <x v="2"/>
    <x v="5"/>
    <x v="1"/>
    <x v="2"/>
    <x v="10"/>
    <n v="2"/>
    <n v="2500"/>
    <x v="162"/>
    <n v="3800"/>
    <n v="1200"/>
  </r>
  <r>
    <s v="ORD00329"/>
    <d v="2025-12-29T00:00:00"/>
    <x v="1"/>
    <x v="5"/>
    <x v="2"/>
    <x v="0"/>
    <x v="3"/>
    <n v="19"/>
    <n v="150"/>
    <x v="152"/>
    <n v="2194.5"/>
    <n v="655.5"/>
  </r>
  <r>
    <s v="ORD00330"/>
    <d v="2025-10-08T00:00:00"/>
    <x v="4"/>
    <x v="1"/>
    <x v="1"/>
    <x v="0"/>
    <x v="3"/>
    <n v="17"/>
    <n v="150"/>
    <x v="78"/>
    <n v="2167.5"/>
    <n v="382.5"/>
  </r>
  <r>
    <s v="ORD00331"/>
    <d v="2025-04-25T00:00:00"/>
    <x v="9"/>
    <x v="2"/>
    <x v="4"/>
    <x v="2"/>
    <x v="5"/>
    <n v="19"/>
    <n v="25000"/>
    <x v="43"/>
    <n v="399000"/>
    <n v="76000"/>
  </r>
  <r>
    <s v="ORD00332"/>
    <d v="2025-02-01T00:00:00"/>
    <x v="7"/>
    <x v="6"/>
    <x v="2"/>
    <x v="0"/>
    <x v="8"/>
    <n v="10"/>
    <n v="250"/>
    <x v="100"/>
    <n v="1875"/>
    <n v="625"/>
  </r>
  <r>
    <s v="ORD00333"/>
    <d v="2025-12-08T00:00:00"/>
    <x v="1"/>
    <x v="2"/>
    <x v="2"/>
    <x v="2"/>
    <x v="15"/>
    <n v="10"/>
    <n v="85000"/>
    <x v="165"/>
    <n v="680000"/>
    <n v="170000"/>
  </r>
  <r>
    <s v="ORD00334"/>
    <d v="2025-08-23T00:00:00"/>
    <x v="8"/>
    <x v="8"/>
    <x v="0"/>
    <x v="1"/>
    <x v="7"/>
    <n v="1"/>
    <n v="18000"/>
    <x v="76"/>
    <n v="14400"/>
    <n v="3600"/>
  </r>
  <r>
    <s v="ORD00335"/>
    <d v="2025-05-04T00:00:00"/>
    <x v="6"/>
    <x v="1"/>
    <x v="2"/>
    <x v="1"/>
    <x v="9"/>
    <n v="12"/>
    <n v="22000"/>
    <x v="124"/>
    <n v="195360"/>
    <n v="68640"/>
  </r>
  <r>
    <s v="ORD00336"/>
    <d v="2025-08-01T00:00:00"/>
    <x v="8"/>
    <x v="9"/>
    <x v="1"/>
    <x v="1"/>
    <x v="11"/>
    <n v="1"/>
    <n v="12000"/>
    <x v="56"/>
    <n v="8880"/>
    <n v="3120"/>
  </r>
  <r>
    <s v="ORD00337"/>
    <d v="2025-09-17T00:00:00"/>
    <x v="0"/>
    <x v="5"/>
    <x v="3"/>
    <x v="1"/>
    <x v="4"/>
    <n v="8"/>
    <n v="5000"/>
    <x v="82"/>
    <n v="31600"/>
    <n v="8400"/>
  </r>
  <r>
    <s v="ORD00338"/>
    <d v="2025-07-13T00:00:00"/>
    <x v="11"/>
    <x v="2"/>
    <x v="3"/>
    <x v="0"/>
    <x v="3"/>
    <n v="1"/>
    <n v="150"/>
    <x v="40"/>
    <n v="121.50000000000001"/>
    <n v="28.499999999999986"/>
  </r>
  <r>
    <s v="ORD00339"/>
    <d v="2025-04-03T00:00:00"/>
    <x v="9"/>
    <x v="5"/>
    <x v="0"/>
    <x v="0"/>
    <x v="3"/>
    <n v="2"/>
    <n v="150"/>
    <x v="145"/>
    <n v="222"/>
    <n v="78"/>
  </r>
  <r>
    <s v="ORD00340"/>
    <d v="2025-09-02T00:00:00"/>
    <x v="0"/>
    <x v="3"/>
    <x v="3"/>
    <x v="0"/>
    <x v="13"/>
    <n v="6"/>
    <n v="1200"/>
    <x v="27"/>
    <n v="5400"/>
    <n v="1800"/>
  </r>
  <r>
    <s v="ORD00341"/>
    <d v="2025-11-12T00:00:00"/>
    <x v="3"/>
    <x v="9"/>
    <x v="4"/>
    <x v="0"/>
    <x v="13"/>
    <n v="8"/>
    <n v="1200"/>
    <x v="166"/>
    <n v="6912"/>
    <n v="2688"/>
  </r>
  <r>
    <s v="ORD00342"/>
    <d v="2025-01-12T00:00:00"/>
    <x v="2"/>
    <x v="7"/>
    <x v="1"/>
    <x v="1"/>
    <x v="4"/>
    <n v="6"/>
    <n v="5000"/>
    <x v="128"/>
    <n v="23100"/>
    <n v="6900"/>
  </r>
  <r>
    <s v="ORD00343"/>
    <d v="2025-03-22T00:00:00"/>
    <x v="10"/>
    <x v="9"/>
    <x v="1"/>
    <x v="1"/>
    <x v="4"/>
    <n v="17"/>
    <n v="5000"/>
    <x v="118"/>
    <n v="62050"/>
    <n v="22950"/>
  </r>
  <r>
    <s v="ORD00344"/>
    <d v="2025-02-04T00:00:00"/>
    <x v="7"/>
    <x v="3"/>
    <x v="2"/>
    <x v="1"/>
    <x v="4"/>
    <n v="3"/>
    <n v="5000"/>
    <x v="121"/>
    <n v="12300"/>
    <n v="2700"/>
  </r>
  <r>
    <s v="ORD00345"/>
    <d v="2025-01-29T00:00:00"/>
    <x v="2"/>
    <x v="3"/>
    <x v="1"/>
    <x v="0"/>
    <x v="8"/>
    <n v="1"/>
    <n v="250"/>
    <x v="167"/>
    <n v="207.5"/>
    <n v="42.5"/>
  </r>
  <r>
    <s v="ORD00346"/>
    <d v="2025-12-18T00:00:00"/>
    <x v="1"/>
    <x v="8"/>
    <x v="3"/>
    <x v="0"/>
    <x v="13"/>
    <n v="6"/>
    <n v="1200"/>
    <x v="27"/>
    <n v="5832"/>
    <n v="1368"/>
  </r>
  <r>
    <s v="ORD00347"/>
    <d v="2025-02-11T00:00:00"/>
    <x v="7"/>
    <x v="2"/>
    <x v="1"/>
    <x v="2"/>
    <x v="5"/>
    <n v="4"/>
    <n v="25000"/>
    <x v="8"/>
    <n v="80000"/>
    <n v="20000"/>
  </r>
  <r>
    <s v="ORD00348"/>
    <d v="2025-06-02T00:00:00"/>
    <x v="5"/>
    <x v="7"/>
    <x v="3"/>
    <x v="1"/>
    <x v="11"/>
    <n v="1"/>
    <n v="12000"/>
    <x v="56"/>
    <n v="9240"/>
    <n v="2760"/>
  </r>
  <r>
    <s v="ORD00349"/>
    <d v="2025-02-26T00:00:00"/>
    <x v="7"/>
    <x v="1"/>
    <x v="0"/>
    <x v="2"/>
    <x v="6"/>
    <n v="12"/>
    <n v="35000"/>
    <x v="30"/>
    <n v="348600"/>
    <n v="71400"/>
  </r>
  <r>
    <s v="ORD00350"/>
    <d v="2025-12-30T00:00:00"/>
    <x v="1"/>
    <x v="0"/>
    <x v="2"/>
    <x v="1"/>
    <x v="1"/>
    <n v="14"/>
    <n v="15000"/>
    <x v="60"/>
    <n v="163800"/>
    <n v="46200"/>
  </r>
  <r>
    <s v="ORD00351"/>
    <d v="2025-04-23T00:00:00"/>
    <x v="9"/>
    <x v="3"/>
    <x v="1"/>
    <x v="0"/>
    <x v="3"/>
    <n v="20"/>
    <n v="150"/>
    <x v="68"/>
    <n v="2280"/>
    <n v="720"/>
  </r>
  <r>
    <s v="ORD00352"/>
    <d v="2025-09-03T00:00:00"/>
    <x v="0"/>
    <x v="1"/>
    <x v="2"/>
    <x v="2"/>
    <x v="10"/>
    <n v="2"/>
    <n v="2500"/>
    <x v="162"/>
    <n v="4100"/>
    <n v="900"/>
  </r>
  <r>
    <s v="ORD00353"/>
    <d v="2025-04-29T00:00:00"/>
    <x v="9"/>
    <x v="1"/>
    <x v="4"/>
    <x v="1"/>
    <x v="1"/>
    <n v="9"/>
    <n v="15000"/>
    <x v="168"/>
    <n v="99900"/>
    <n v="35100"/>
  </r>
  <r>
    <s v="ORD00354"/>
    <d v="2025-09-11T00:00:00"/>
    <x v="0"/>
    <x v="4"/>
    <x v="2"/>
    <x v="2"/>
    <x v="5"/>
    <n v="16"/>
    <n v="25000"/>
    <x v="169"/>
    <n v="304000"/>
    <n v="96000"/>
  </r>
  <r>
    <s v="ORD00355"/>
    <d v="2025-12-18T00:00:00"/>
    <x v="1"/>
    <x v="0"/>
    <x v="2"/>
    <x v="0"/>
    <x v="13"/>
    <n v="11"/>
    <n v="1200"/>
    <x v="135"/>
    <n v="10164"/>
    <n v="3036"/>
  </r>
  <r>
    <s v="ORD00356"/>
    <d v="2025-09-05T00:00:00"/>
    <x v="0"/>
    <x v="8"/>
    <x v="3"/>
    <x v="2"/>
    <x v="10"/>
    <n v="2"/>
    <n v="2500"/>
    <x v="162"/>
    <n v="3700"/>
    <n v="1300"/>
  </r>
  <r>
    <s v="ORD00357"/>
    <d v="2025-11-19T00:00:00"/>
    <x v="3"/>
    <x v="6"/>
    <x v="4"/>
    <x v="1"/>
    <x v="1"/>
    <n v="13"/>
    <n v="15000"/>
    <x v="170"/>
    <n v="163800"/>
    <n v="31200"/>
  </r>
  <r>
    <s v="ORD00358"/>
    <d v="2025-04-04T00:00:00"/>
    <x v="9"/>
    <x v="9"/>
    <x v="4"/>
    <x v="2"/>
    <x v="15"/>
    <n v="8"/>
    <n v="85000"/>
    <x v="136"/>
    <n v="571200"/>
    <n v="108800"/>
  </r>
  <r>
    <s v="ORD00359"/>
    <d v="2025-04-14T00:00:00"/>
    <x v="9"/>
    <x v="3"/>
    <x v="2"/>
    <x v="1"/>
    <x v="1"/>
    <n v="5"/>
    <n v="15000"/>
    <x v="46"/>
    <n v="54750"/>
    <n v="20250"/>
  </r>
  <r>
    <s v="ORD00360"/>
    <d v="2025-09-11T00:00:00"/>
    <x v="0"/>
    <x v="9"/>
    <x v="0"/>
    <x v="2"/>
    <x v="6"/>
    <n v="11"/>
    <n v="35000"/>
    <x v="149"/>
    <n v="327250"/>
    <n v="57750"/>
  </r>
  <r>
    <s v="ORD00361"/>
    <d v="2025-11-01T00:00:00"/>
    <x v="3"/>
    <x v="9"/>
    <x v="0"/>
    <x v="0"/>
    <x v="13"/>
    <n v="2"/>
    <n v="1200"/>
    <x v="32"/>
    <n v="1704"/>
    <n v="696"/>
  </r>
  <r>
    <s v="ORD00362"/>
    <d v="2025-06-28T00:00:00"/>
    <x v="5"/>
    <x v="3"/>
    <x v="1"/>
    <x v="2"/>
    <x v="16"/>
    <n v="10"/>
    <n v="1500"/>
    <x v="121"/>
    <n v="12300"/>
    <n v="2700"/>
  </r>
  <r>
    <s v="ORD00363"/>
    <d v="2025-11-01T00:00:00"/>
    <x v="3"/>
    <x v="0"/>
    <x v="2"/>
    <x v="0"/>
    <x v="13"/>
    <n v="13"/>
    <n v="1200"/>
    <x v="171"/>
    <n v="12948"/>
    <n v="2652"/>
  </r>
  <r>
    <s v="ORD00364"/>
    <d v="2025-09-16T00:00:00"/>
    <x v="0"/>
    <x v="9"/>
    <x v="3"/>
    <x v="0"/>
    <x v="8"/>
    <n v="11"/>
    <n v="250"/>
    <x v="172"/>
    <n v="2007.5"/>
    <n v="742.5"/>
  </r>
  <r>
    <s v="ORD00365"/>
    <d v="2025-09-08T00:00:00"/>
    <x v="0"/>
    <x v="7"/>
    <x v="1"/>
    <x v="0"/>
    <x v="13"/>
    <n v="12"/>
    <n v="1200"/>
    <x v="134"/>
    <n v="10224"/>
    <n v="4176"/>
  </r>
  <r>
    <s v="ORD00366"/>
    <d v="2025-03-09T00:00:00"/>
    <x v="10"/>
    <x v="6"/>
    <x v="3"/>
    <x v="1"/>
    <x v="9"/>
    <n v="9"/>
    <n v="22000"/>
    <x v="85"/>
    <n v="158400"/>
    <n v="39600"/>
  </r>
  <r>
    <s v="ORD00367"/>
    <d v="2025-10-16T00:00:00"/>
    <x v="4"/>
    <x v="8"/>
    <x v="4"/>
    <x v="1"/>
    <x v="9"/>
    <n v="6"/>
    <n v="22000"/>
    <x v="173"/>
    <n v="97680"/>
    <n v="34320"/>
  </r>
  <r>
    <s v="ORD00368"/>
    <d v="2025-06-16T00:00:00"/>
    <x v="5"/>
    <x v="1"/>
    <x v="2"/>
    <x v="2"/>
    <x v="16"/>
    <n v="7"/>
    <n v="1500"/>
    <x v="107"/>
    <n v="7770"/>
    <n v="2730"/>
  </r>
  <r>
    <s v="ORD00369"/>
    <d v="2025-02-02T00:00:00"/>
    <x v="7"/>
    <x v="6"/>
    <x v="1"/>
    <x v="0"/>
    <x v="8"/>
    <n v="11"/>
    <n v="250"/>
    <x v="172"/>
    <n v="1952.5"/>
    <n v="797.5"/>
  </r>
  <r>
    <s v="ORD00370"/>
    <d v="2025-04-14T00:00:00"/>
    <x v="9"/>
    <x v="1"/>
    <x v="0"/>
    <x v="2"/>
    <x v="2"/>
    <n v="5"/>
    <n v="45000"/>
    <x v="174"/>
    <n v="168750"/>
    <n v="56250"/>
  </r>
  <r>
    <s v="ORD00371"/>
    <d v="2025-03-28T00:00:00"/>
    <x v="10"/>
    <x v="1"/>
    <x v="3"/>
    <x v="1"/>
    <x v="4"/>
    <n v="2"/>
    <n v="5000"/>
    <x v="20"/>
    <n v="7500"/>
    <n v="2500"/>
  </r>
  <r>
    <s v="ORD00372"/>
    <d v="2025-08-01T00:00:00"/>
    <x v="8"/>
    <x v="5"/>
    <x v="3"/>
    <x v="2"/>
    <x v="15"/>
    <n v="1"/>
    <n v="85000"/>
    <x v="118"/>
    <n v="66300"/>
    <n v="18700"/>
  </r>
  <r>
    <s v="ORD00373"/>
    <d v="2025-11-14T00:00:00"/>
    <x v="3"/>
    <x v="0"/>
    <x v="4"/>
    <x v="0"/>
    <x v="8"/>
    <n v="2"/>
    <n v="250"/>
    <x v="175"/>
    <n v="370"/>
    <n v="130"/>
  </r>
  <r>
    <s v="ORD00374"/>
    <d v="2025-02-15T00:00:00"/>
    <x v="7"/>
    <x v="9"/>
    <x v="0"/>
    <x v="0"/>
    <x v="8"/>
    <n v="18"/>
    <n v="250"/>
    <x v="51"/>
    <n v="3690"/>
    <n v="810"/>
  </r>
  <r>
    <s v="ORD00375"/>
    <d v="2025-03-20T00:00:00"/>
    <x v="10"/>
    <x v="2"/>
    <x v="0"/>
    <x v="2"/>
    <x v="2"/>
    <n v="8"/>
    <n v="45000"/>
    <x v="34"/>
    <n v="251999.99999999997"/>
    <n v="108000.00000000003"/>
  </r>
  <r>
    <s v="ORD00376"/>
    <d v="2025-07-18T00:00:00"/>
    <x v="11"/>
    <x v="1"/>
    <x v="1"/>
    <x v="0"/>
    <x v="12"/>
    <n v="15"/>
    <n v="800"/>
    <x v="56"/>
    <n v="9600"/>
    <n v="2400"/>
  </r>
  <r>
    <s v="ORD00377"/>
    <d v="2025-02-21T00:00:00"/>
    <x v="7"/>
    <x v="6"/>
    <x v="3"/>
    <x v="0"/>
    <x v="12"/>
    <n v="2"/>
    <n v="800"/>
    <x v="111"/>
    <n v="1296"/>
    <n v="304"/>
  </r>
  <r>
    <s v="ORD00378"/>
    <d v="2025-02-12T00:00:00"/>
    <x v="7"/>
    <x v="8"/>
    <x v="3"/>
    <x v="1"/>
    <x v="1"/>
    <n v="8"/>
    <n v="15000"/>
    <x v="155"/>
    <n v="99600"/>
    <n v="20400"/>
  </r>
  <r>
    <s v="ORD00379"/>
    <d v="2025-06-03T00:00:00"/>
    <x v="5"/>
    <x v="4"/>
    <x v="3"/>
    <x v="0"/>
    <x v="12"/>
    <n v="20"/>
    <n v="800"/>
    <x v="21"/>
    <n v="12320"/>
    <n v="3680"/>
  </r>
  <r>
    <s v="ORD00380"/>
    <d v="2025-03-03T00:00:00"/>
    <x v="10"/>
    <x v="0"/>
    <x v="0"/>
    <x v="1"/>
    <x v="11"/>
    <n v="12"/>
    <n v="12000"/>
    <x v="14"/>
    <n v="108000"/>
    <n v="36000"/>
  </r>
  <r>
    <s v="ORD00381"/>
    <d v="2025-11-08T00:00:00"/>
    <x v="3"/>
    <x v="2"/>
    <x v="4"/>
    <x v="1"/>
    <x v="9"/>
    <n v="8"/>
    <n v="22000"/>
    <x v="176"/>
    <n v="142560"/>
    <n v="33440"/>
  </r>
  <r>
    <s v="ORD00382"/>
    <d v="2025-08-26T00:00:00"/>
    <x v="8"/>
    <x v="0"/>
    <x v="1"/>
    <x v="1"/>
    <x v="1"/>
    <n v="12"/>
    <n v="15000"/>
    <x v="1"/>
    <n v="131400"/>
    <n v="48600"/>
  </r>
  <r>
    <s v="ORD00383"/>
    <d v="2025-08-12T00:00:00"/>
    <x v="8"/>
    <x v="4"/>
    <x v="3"/>
    <x v="0"/>
    <x v="3"/>
    <n v="19"/>
    <n v="150"/>
    <x v="152"/>
    <n v="2365.5"/>
    <n v="484.5"/>
  </r>
  <r>
    <s v="ORD00384"/>
    <d v="2025-02-18T00:00:00"/>
    <x v="7"/>
    <x v="8"/>
    <x v="1"/>
    <x v="1"/>
    <x v="4"/>
    <n v="16"/>
    <n v="5000"/>
    <x v="23"/>
    <n v="67200"/>
    <n v="12800"/>
  </r>
  <r>
    <s v="ORD00385"/>
    <d v="2025-04-27T00:00:00"/>
    <x v="9"/>
    <x v="6"/>
    <x v="4"/>
    <x v="1"/>
    <x v="9"/>
    <n v="14"/>
    <n v="22000"/>
    <x v="37"/>
    <n v="237160"/>
    <n v="70840"/>
  </r>
  <r>
    <s v="ORD00386"/>
    <d v="2025-01-20T00:00:00"/>
    <x v="2"/>
    <x v="3"/>
    <x v="3"/>
    <x v="1"/>
    <x v="1"/>
    <n v="10"/>
    <n v="15000"/>
    <x v="38"/>
    <n v="126000"/>
    <n v="24000"/>
  </r>
  <r>
    <s v="ORD00387"/>
    <d v="2025-12-02T00:00:00"/>
    <x v="1"/>
    <x v="9"/>
    <x v="0"/>
    <x v="0"/>
    <x v="13"/>
    <n v="20"/>
    <n v="1200"/>
    <x v="19"/>
    <n v="18960"/>
    <n v="5040"/>
  </r>
  <r>
    <s v="ORD00388"/>
    <d v="2025-01-29T00:00:00"/>
    <x v="2"/>
    <x v="5"/>
    <x v="1"/>
    <x v="2"/>
    <x v="2"/>
    <n v="2"/>
    <n v="45000"/>
    <x v="5"/>
    <n v="72900"/>
    <n v="17100"/>
  </r>
  <r>
    <s v="ORD00389"/>
    <d v="2025-01-25T00:00:00"/>
    <x v="2"/>
    <x v="9"/>
    <x v="0"/>
    <x v="1"/>
    <x v="4"/>
    <n v="11"/>
    <n v="5000"/>
    <x v="177"/>
    <n v="38500"/>
    <n v="16500"/>
  </r>
  <r>
    <s v="ORD00390"/>
    <d v="2025-04-25T00:00:00"/>
    <x v="9"/>
    <x v="7"/>
    <x v="0"/>
    <x v="2"/>
    <x v="15"/>
    <n v="5"/>
    <n v="85000"/>
    <x v="6"/>
    <n v="331500"/>
    <n v="93500"/>
  </r>
  <r>
    <s v="ORD00391"/>
    <d v="2025-04-27T00:00:00"/>
    <x v="9"/>
    <x v="7"/>
    <x v="4"/>
    <x v="0"/>
    <x v="8"/>
    <n v="17"/>
    <n v="250"/>
    <x v="178"/>
    <n v="3272.5"/>
    <n v="977.5"/>
  </r>
  <r>
    <s v="ORD00392"/>
    <d v="2025-05-13T00:00:00"/>
    <x v="6"/>
    <x v="2"/>
    <x v="2"/>
    <x v="2"/>
    <x v="14"/>
    <n v="8"/>
    <n v="28000"/>
    <x v="179"/>
    <n v="165760"/>
    <n v="58240"/>
  </r>
  <r>
    <s v="ORD00393"/>
    <d v="2025-02-14T00:00:00"/>
    <x v="7"/>
    <x v="2"/>
    <x v="3"/>
    <x v="1"/>
    <x v="9"/>
    <n v="4"/>
    <n v="22000"/>
    <x v="180"/>
    <n v="73040"/>
    <n v="14960"/>
  </r>
  <r>
    <s v="ORD00394"/>
    <d v="2025-04-09T00:00:00"/>
    <x v="9"/>
    <x v="0"/>
    <x v="2"/>
    <x v="1"/>
    <x v="11"/>
    <n v="19"/>
    <n v="12000"/>
    <x v="181"/>
    <n v="168720"/>
    <n v="59280"/>
  </r>
  <r>
    <s v="ORD00395"/>
    <d v="2025-03-10T00:00:00"/>
    <x v="10"/>
    <x v="2"/>
    <x v="3"/>
    <x v="1"/>
    <x v="9"/>
    <n v="7"/>
    <n v="22000"/>
    <x v="182"/>
    <n v="117040"/>
    <n v="36960"/>
  </r>
  <r>
    <s v="ORD00396"/>
    <d v="2025-06-07T00:00:00"/>
    <x v="5"/>
    <x v="8"/>
    <x v="4"/>
    <x v="1"/>
    <x v="9"/>
    <n v="11"/>
    <n v="22000"/>
    <x v="183"/>
    <n v="203280"/>
    <n v="38720"/>
  </r>
  <r>
    <s v="ORD00397"/>
    <d v="2025-01-28T00:00:00"/>
    <x v="2"/>
    <x v="4"/>
    <x v="0"/>
    <x v="0"/>
    <x v="3"/>
    <n v="18"/>
    <n v="150"/>
    <x v="7"/>
    <n v="2079"/>
    <n v="621"/>
  </r>
  <r>
    <s v="ORD00398"/>
    <d v="2025-03-30T00:00:00"/>
    <x v="10"/>
    <x v="5"/>
    <x v="3"/>
    <x v="2"/>
    <x v="5"/>
    <n v="8"/>
    <n v="25000"/>
    <x v="96"/>
    <n v="168000"/>
    <n v="32000"/>
  </r>
  <r>
    <s v="ORD00399"/>
    <d v="2025-02-03T00:00:00"/>
    <x v="7"/>
    <x v="9"/>
    <x v="1"/>
    <x v="1"/>
    <x v="9"/>
    <n v="7"/>
    <n v="22000"/>
    <x v="182"/>
    <n v="115500"/>
    <n v="38500"/>
  </r>
  <r>
    <s v="ORD00400"/>
    <d v="2025-07-31T00:00:00"/>
    <x v="11"/>
    <x v="4"/>
    <x v="2"/>
    <x v="0"/>
    <x v="8"/>
    <n v="19"/>
    <n v="250"/>
    <x v="80"/>
    <n v="3610"/>
    <n v="1140"/>
  </r>
  <r>
    <s v="ORD00401"/>
    <d v="2025-03-09T00:00:00"/>
    <x v="10"/>
    <x v="2"/>
    <x v="1"/>
    <x v="2"/>
    <x v="15"/>
    <n v="6"/>
    <n v="85000"/>
    <x v="184"/>
    <n v="433500"/>
    <n v="76500"/>
  </r>
  <r>
    <s v="ORD00402"/>
    <d v="2025-08-27T00:00:00"/>
    <x v="8"/>
    <x v="5"/>
    <x v="1"/>
    <x v="2"/>
    <x v="6"/>
    <n v="5"/>
    <n v="35000"/>
    <x v="93"/>
    <n v="133000"/>
    <n v="42000"/>
  </r>
  <r>
    <s v="ORD00403"/>
    <d v="2025-12-21T00:00:00"/>
    <x v="1"/>
    <x v="3"/>
    <x v="0"/>
    <x v="1"/>
    <x v="1"/>
    <n v="9"/>
    <n v="15000"/>
    <x v="168"/>
    <n v="98550"/>
    <n v="36450"/>
  </r>
  <r>
    <s v="ORD00404"/>
    <d v="2025-06-23T00:00:00"/>
    <x v="5"/>
    <x v="3"/>
    <x v="0"/>
    <x v="1"/>
    <x v="4"/>
    <n v="1"/>
    <n v="5000"/>
    <x v="162"/>
    <n v="4100"/>
    <n v="900"/>
  </r>
  <r>
    <s v="ORD00405"/>
    <d v="2025-02-01T00:00:00"/>
    <x v="7"/>
    <x v="9"/>
    <x v="4"/>
    <x v="1"/>
    <x v="1"/>
    <n v="6"/>
    <n v="15000"/>
    <x v="5"/>
    <n v="70200"/>
    <n v="19800"/>
  </r>
  <r>
    <s v="ORD00406"/>
    <d v="2025-12-06T00:00:00"/>
    <x v="1"/>
    <x v="9"/>
    <x v="0"/>
    <x v="1"/>
    <x v="11"/>
    <n v="9"/>
    <n v="12000"/>
    <x v="75"/>
    <n v="86400"/>
    <n v="21600"/>
  </r>
  <r>
    <s v="ORD00407"/>
    <d v="2025-04-15T00:00:00"/>
    <x v="9"/>
    <x v="1"/>
    <x v="0"/>
    <x v="2"/>
    <x v="10"/>
    <n v="9"/>
    <n v="2500"/>
    <x v="55"/>
    <n v="18900"/>
    <n v="3600"/>
  </r>
  <r>
    <s v="ORD00408"/>
    <d v="2025-02-13T00:00:00"/>
    <x v="7"/>
    <x v="3"/>
    <x v="2"/>
    <x v="1"/>
    <x v="1"/>
    <n v="4"/>
    <n v="15000"/>
    <x v="84"/>
    <n v="49800"/>
    <n v="10200"/>
  </r>
  <r>
    <s v="ORD00409"/>
    <d v="2025-04-12T00:00:00"/>
    <x v="9"/>
    <x v="7"/>
    <x v="4"/>
    <x v="0"/>
    <x v="0"/>
    <n v="20"/>
    <n v="300"/>
    <x v="141"/>
    <n v="4800"/>
    <n v="1200"/>
  </r>
  <r>
    <s v="ORD00410"/>
    <d v="2025-12-10T00:00:00"/>
    <x v="1"/>
    <x v="8"/>
    <x v="0"/>
    <x v="2"/>
    <x v="14"/>
    <n v="8"/>
    <n v="28000"/>
    <x v="179"/>
    <n v="183680"/>
    <n v="40320"/>
  </r>
  <r>
    <s v="ORD00411"/>
    <d v="2025-04-27T00:00:00"/>
    <x v="9"/>
    <x v="3"/>
    <x v="1"/>
    <x v="1"/>
    <x v="9"/>
    <n v="1"/>
    <n v="22000"/>
    <x v="151"/>
    <n v="18040"/>
    <n v="3960"/>
  </r>
  <r>
    <s v="ORD00412"/>
    <d v="2025-05-03T00:00:00"/>
    <x v="6"/>
    <x v="0"/>
    <x v="2"/>
    <x v="2"/>
    <x v="10"/>
    <n v="8"/>
    <n v="2500"/>
    <x v="144"/>
    <n v="15000"/>
    <n v="5000"/>
  </r>
  <r>
    <s v="ORD00413"/>
    <d v="2025-08-07T00:00:00"/>
    <x v="8"/>
    <x v="5"/>
    <x v="2"/>
    <x v="2"/>
    <x v="16"/>
    <n v="19"/>
    <n v="1500"/>
    <x v="137"/>
    <n v="23655"/>
    <n v="4845"/>
  </r>
  <r>
    <s v="ORD00414"/>
    <d v="2025-11-11T00:00:00"/>
    <x v="3"/>
    <x v="4"/>
    <x v="4"/>
    <x v="1"/>
    <x v="7"/>
    <n v="9"/>
    <n v="18000"/>
    <x v="79"/>
    <n v="115020"/>
    <n v="46980"/>
  </r>
  <r>
    <s v="ORD00415"/>
    <d v="2025-05-15T00:00:00"/>
    <x v="6"/>
    <x v="4"/>
    <x v="2"/>
    <x v="1"/>
    <x v="9"/>
    <n v="7"/>
    <n v="22000"/>
    <x v="182"/>
    <n v="109340"/>
    <n v="44660"/>
  </r>
  <r>
    <s v="ORD00416"/>
    <d v="2025-03-05T00:00:00"/>
    <x v="10"/>
    <x v="2"/>
    <x v="4"/>
    <x v="2"/>
    <x v="5"/>
    <n v="14"/>
    <n v="25000"/>
    <x v="185"/>
    <n v="287000"/>
    <n v="63000"/>
  </r>
  <r>
    <s v="ORD00417"/>
    <d v="2025-05-11T00:00:00"/>
    <x v="6"/>
    <x v="2"/>
    <x v="2"/>
    <x v="2"/>
    <x v="16"/>
    <n v="11"/>
    <n v="1500"/>
    <x v="186"/>
    <n v="12045"/>
    <n v="4455"/>
  </r>
  <r>
    <s v="ORD00418"/>
    <d v="2025-07-28T00:00:00"/>
    <x v="11"/>
    <x v="0"/>
    <x v="4"/>
    <x v="0"/>
    <x v="0"/>
    <n v="9"/>
    <n v="300"/>
    <x v="7"/>
    <n v="2268"/>
    <n v="432"/>
  </r>
  <r>
    <s v="ORD00419"/>
    <d v="2025-01-02T00:00:00"/>
    <x v="2"/>
    <x v="4"/>
    <x v="1"/>
    <x v="2"/>
    <x v="10"/>
    <n v="20"/>
    <n v="2500"/>
    <x v="11"/>
    <n v="38000"/>
    <n v="12000"/>
  </r>
  <r>
    <s v="ORD00420"/>
    <d v="2025-03-21T00:00:00"/>
    <x v="10"/>
    <x v="8"/>
    <x v="0"/>
    <x v="2"/>
    <x v="2"/>
    <n v="9"/>
    <n v="45000"/>
    <x v="160"/>
    <n v="315900"/>
    <n v="89100"/>
  </r>
  <r>
    <s v="ORD00421"/>
    <d v="2025-05-02T00:00:00"/>
    <x v="6"/>
    <x v="9"/>
    <x v="1"/>
    <x v="2"/>
    <x v="16"/>
    <n v="9"/>
    <n v="1500"/>
    <x v="187"/>
    <n v="11475"/>
    <n v="2025"/>
  </r>
  <r>
    <s v="ORD00422"/>
    <d v="2025-06-08T00:00:00"/>
    <x v="5"/>
    <x v="4"/>
    <x v="3"/>
    <x v="2"/>
    <x v="6"/>
    <n v="3"/>
    <n v="35000"/>
    <x v="153"/>
    <n v="74550"/>
    <n v="30450"/>
  </r>
  <r>
    <s v="ORD00423"/>
    <d v="2025-03-21T00:00:00"/>
    <x v="10"/>
    <x v="9"/>
    <x v="0"/>
    <x v="1"/>
    <x v="4"/>
    <n v="17"/>
    <n v="5000"/>
    <x v="118"/>
    <n v="66300"/>
    <n v="18700"/>
  </r>
  <r>
    <s v="ORD00424"/>
    <d v="2025-02-28T00:00:00"/>
    <x v="7"/>
    <x v="2"/>
    <x v="2"/>
    <x v="2"/>
    <x v="5"/>
    <n v="7"/>
    <n v="25000"/>
    <x v="93"/>
    <n v="138250"/>
    <n v="36750"/>
  </r>
  <r>
    <s v="ORD00425"/>
    <d v="2025-03-11T00:00:00"/>
    <x v="10"/>
    <x v="7"/>
    <x v="1"/>
    <x v="1"/>
    <x v="1"/>
    <n v="4"/>
    <n v="15000"/>
    <x v="84"/>
    <n v="43800"/>
    <n v="16200"/>
  </r>
  <r>
    <s v="ORD00426"/>
    <d v="2025-09-02T00:00:00"/>
    <x v="0"/>
    <x v="3"/>
    <x v="2"/>
    <x v="2"/>
    <x v="5"/>
    <n v="7"/>
    <n v="25000"/>
    <x v="93"/>
    <n v="136500"/>
    <n v="38500"/>
  </r>
  <r>
    <s v="ORD00427"/>
    <d v="2025-11-11T00:00:00"/>
    <x v="3"/>
    <x v="4"/>
    <x v="4"/>
    <x v="2"/>
    <x v="2"/>
    <n v="16"/>
    <n v="45000"/>
    <x v="115"/>
    <n v="518400"/>
    <n v="201600"/>
  </r>
  <r>
    <s v="ORD00428"/>
    <d v="2025-08-19T00:00:00"/>
    <x v="8"/>
    <x v="3"/>
    <x v="0"/>
    <x v="0"/>
    <x v="3"/>
    <n v="19"/>
    <n v="150"/>
    <x v="152"/>
    <n v="1994.9999999999998"/>
    <n v="855.00000000000023"/>
  </r>
  <r>
    <s v="ORD00429"/>
    <d v="2025-07-26T00:00:00"/>
    <x v="11"/>
    <x v="0"/>
    <x v="1"/>
    <x v="1"/>
    <x v="1"/>
    <n v="8"/>
    <n v="15000"/>
    <x v="155"/>
    <n v="97200"/>
    <n v="22800"/>
  </r>
  <r>
    <s v="ORD00430"/>
    <d v="2025-04-18T00:00:00"/>
    <x v="9"/>
    <x v="0"/>
    <x v="4"/>
    <x v="0"/>
    <x v="3"/>
    <n v="2"/>
    <n v="150"/>
    <x v="145"/>
    <n v="228"/>
    <n v="72"/>
  </r>
  <r>
    <s v="ORD00431"/>
    <d v="2025-02-18T00:00:00"/>
    <x v="7"/>
    <x v="2"/>
    <x v="3"/>
    <x v="1"/>
    <x v="4"/>
    <n v="14"/>
    <n v="5000"/>
    <x v="148"/>
    <n v="57400"/>
    <n v="12600"/>
  </r>
  <r>
    <s v="ORD00432"/>
    <d v="2025-08-26T00:00:00"/>
    <x v="8"/>
    <x v="0"/>
    <x v="2"/>
    <x v="2"/>
    <x v="16"/>
    <n v="2"/>
    <n v="1500"/>
    <x v="68"/>
    <n v="2430"/>
    <n v="570"/>
  </r>
  <r>
    <s v="ORD00433"/>
    <d v="2025-05-21T00:00:00"/>
    <x v="6"/>
    <x v="1"/>
    <x v="2"/>
    <x v="1"/>
    <x v="4"/>
    <n v="3"/>
    <n v="5000"/>
    <x v="121"/>
    <n v="10500"/>
    <n v="4500"/>
  </r>
  <r>
    <s v="ORD00434"/>
    <d v="2025-03-12T00:00:00"/>
    <x v="10"/>
    <x v="4"/>
    <x v="1"/>
    <x v="1"/>
    <x v="9"/>
    <n v="7"/>
    <n v="22000"/>
    <x v="182"/>
    <n v="130900"/>
    <n v="23100"/>
  </r>
  <r>
    <s v="ORD00435"/>
    <d v="2025-06-01T00:00:00"/>
    <x v="5"/>
    <x v="6"/>
    <x v="1"/>
    <x v="0"/>
    <x v="0"/>
    <n v="5"/>
    <n v="300"/>
    <x v="92"/>
    <n v="1065"/>
    <n v="435"/>
  </r>
  <r>
    <s v="ORD00436"/>
    <d v="2025-01-06T00:00:00"/>
    <x v="2"/>
    <x v="9"/>
    <x v="4"/>
    <x v="1"/>
    <x v="4"/>
    <n v="11"/>
    <n v="5000"/>
    <x v="177"/>
    <n v="39600"/>
    <n v="15400"/>
  </r>
  <r>
    <s v="ORD00437"/>
    <d v="2025-09-11T00:00:00"/>
    <x v="0"/>
    <x v="0"/>
    <x v="4"/>
    <x v="1"/>
    <x v="1"/>
    <n v="14"/>
    <n v="15000"/>
    <x v="60"/>
    <n v="176400"/>
    <n v="33600"/>
  </r>
  <r>
    <s v="ORD00438"/>
    <d v="2025-10-25T00:00:00"/>
    <x v="4"/>
    <x v="5"/>
    <x v="0"/>
    <x v="0"/>
    <x v="12"/>
    <n v="11"/>
    <n v="800"/>
    <x v="104"/>
    <n v="7216"/>
    <n v="1584"/>
  </r>
  <r>
    <s v="ORD00439"/>
    <d v="2025-06-05T00:00:00"/>
    <x v="5"/>
    <x v="5"/>
    <x v="2"/>
    <x v="1"/>
    <x v="4"/>
    <n v="12"/>
    <n v="5000"/>
    <x v="84"/>
    <n v="49200"/>
    <n v="10800"/>
  </r>
  <r>
    <s v="ORD00440"/>
    <d v="2025-02-25T00:00:00"/>
    <x v="7"/>
    <x v="0"/>
    <x v="1"/>
    <x v="0"/>
    <x v="0"/>
    <n v="12"/>
    <n v="300"/>
    <x v="109"/>
    <n v="3024"/>
    <n v="576"/>
  </r>
  <r>
    <s v="ORD00441"/>
    <d v="2025-09-21T00:00:00"/>
    <x v="0"/>
    <x v="5"/>
    <x v="2"/>
    <x v="0"/>
    <x v="13"/>
    <n v="7"/>
    <n v="1200"/>
    <x v="125"/>
    <n v="6636"/>
    <n v="1764"/>
  </r>
  <r>
    <s v="ORD00442"/>
    <d v="2025-03-08T00:00:00"/>
    <x v="10"/>
    <x v="6"/>
    <x v="3"/>
    <x v="1"/>
    <x v="7"/>
    <n v="7"/>
    <n v="18000"/>
    <x v="139"/>
    <n v="93240"/>
    <n v="32760"/>
  </r>
  <r>
    <s v="ORD00443"/>
    <d v="2025-08-30T00:00:00"/>
    <x v="8"/>
    <x v="3"/>
    <x v="2"/>
    <x v="0"/>
    <x v="13"/>
    <n v="8"/>
    <n v="1200"/>
    <x v="166"/>
    <n v="8064"/>
    <n v="1536"/>
  </r>
  <r>
    <s v="ORD00444"/>
    <d v="2025-02-08T00:00:00"/>
    <x v="7"/>
    <x v="6"/>
    <x v="2"/>
    <x v="2"/>
    <x v="6"/>
    <n v="8"/>
    <n v="35000"/>
    <x v="9"/>
    <n v="207200"/>
    <n v="72800"/>
  </r>
  <r>
    <s v="ORD00445"/>
    <d v="2025-10-31T00:00:00"/>
    <x v="4"/>
    <x v="4"/>
    <x v="1"/>
    <x v="1"/>
    <x v="1"/>
    <n v="4"/>
    <n v="15000"/>
    <x v="84"/>
    <n v="48600"/>
    <n v="11400"/>
  </r>
  <r>
    <s v="ORD00446"/>
    <d v="2025-07-25T00:00:00"/>
    <x v="11"/>
    <x v="6"/>
    <x v="1"/>
    <x v="2"/>
    <x v="14"/>
    <n v="14"/>
    <n v="28000"/>
    <x v="188"/>
    <n v="297920"/>
    <n v="94080"/>
  </r>
  <r>
    <s v="ORD00447"/>
    <d v="2025-06-17T00:00:00"/>
    <x v="5"/>
    <x v="9"/>
    <x v="1"/>
    <x v="1"/>
    <x v="9"/>
    <n v="8"/>
    <n v="22000"/>
    <x v="176"/>
    <n v="135520"/>
    <n v="40480"/>
  </r>
  <r>
    <s v="ORD00448"/>
    <d v="2025-09-20T00:00:00"/>
    <x v="0"/>
    <x v="5"/>
    <x v="4"/>
    <x v="2"/>
    <x v="5"/>
    <n v="2"/>
    <n v="25000"/>
    <x v="11"/>
    <n v="40500"/>
    <n v="9500"/>
  </r>
  <r>
    <s v="ORD00449"/>
    <d v="2025-11-21T00:00:00"/>
    <x v="3"/>
    <x v="2"/>
    <x v="4"/>
    <x v="1"/>
    <x v="4"/>
    <n v="9"/>
    <n v="5000"/>
    <x v="28"/>
    <n v="34200"/>
    <n v="10800"/>
  </r>
  <r>
    <s v="ORD00450"/>
    <d v="2025-11-16T00:00:00"/>
    <x v="3"/>
    <x v="0"/>
    <x v="1"/>
    <x v="1"/>
    <x v="11"/>
    <n v="15"/>
    <n v="12000"/>
    <x v="1"/>
    <n v="131400"/>
    <n v="48600"/>
  </r>
  <r>
    <s v="ORD00451"/>
    <d v="2025-09-15T00:00:00"/>
    <x v="0"/>
    <x v="4"/>
    <x v="1"/>
    <x v="1"/>
    <x v="11"/>
    <n v="18"/>
    <n v="12000"/>
    <x v="146"/>
    <n v="162000"/>
    <n v="54000"/>
  </r>
  <r>
    <s v="ORD00452"/>
    <d v="2025-03-31T00:00:00"/>
    <x v="10"/>
    <x v="2"/>
    <x v="2"/>
    <x v="2"/>
    <x v="5"/>
    <n v="10"/>
    <n v="25000"/>
    <x v="122"/>
    <n v="212500"/>
    <n v="37500"/>
  </r>
  <r>
    <s v="ORD00453"/>
    <d v="2025-01-24T00:00:00"/>
    <x v="2"/>
    <x v="0"/>
    <x v="2"/>
    <x v="2"/>
    <x v="5"/>
    <n v="10"/>
    <n v="25000"/>
    <x v="122"/>
    <n v="175000"/>
    <n v="75000"/>
  </r>
  <r>
    <s v="ORD00454"/>
    <d v="2025-04-05T00:00:00"/>
    <x v="9"/>
    <x v="2"/>
    <x v="2"/>
    <x v="2"/>
    <x v="16"/>
    <n v="10"/>
    <n v="1500"/>
    <x v="121"/>
    <n v="11400"/>
    <n v="3600"/>
  </r>
  <r>
    <s v="ORD00455"/>
    <d v="2025-01-09T00:00:00"/>
    <x v="2"/>
    <x v="1"/>
    <x v="1"/>
    <x v="1"/>
    <x v="1"/>
    <n v="17"/>
    <n v="15000"/>
    <x v="62"/>
    <n v="216750"/>
    <n v="38250"/>
  </r>
  <r>
    <s v="ORD00456"/>
    <d v="2025-10-15T00:00:00"/>
    <x v="4"/>
    <x v="8"/>
    <x v="1"/>
    <x v="2"/>
    <x v="16"/>
    <n v="9"/>
    <n v="1500"/>
    <x v="187"/>
    <n v="11205"/>
    <n v="2295"/>
  </r>
  <r>
    <s v="ORD00457"/>
    <d v="2025-02-18T00:00:00"/>
    <x v="7"/>
    <x v="2"/>
    <x v="3"/>
    <x v="0"/>
    <x v="13"/>
    <n v="10"/>
    <n v="1200"/>
    <x v="56"/>
    <n v="8760"/>
    <n v="3240"/>
  </r>
  <r>
    <s v="ORD00458"/>
    <d v="2025-03-08T00:00:00"/>
    <x v="10"/>
    <x v="9"/>
    <x v="0"/>
    <x v="2"/>
    <x v="15"/>
    <n v="17"/>
    <n v="85000"/>
    <x v="116"/>
    <n v="1025950"/>
    <n v="419050"/>
  </r>
  <r>
    <s v="ORD00459"/>
    <d v="2025-07-15T00:00:00"/>
    <x v="11"/>
    <x v="0"/>
    <x v="1"/>
    <x v="0"/>
    <x v="13"/>
    <n v="20"/>
    <n v="1200"/>
    <x v="19"/>
    <n v="18720"/>
    <n v="5280"/>
  </r>
  <r>
    <s v="ORD00460"/>
    <d v="2025-06-05T00:00:00"/>
    <x v="5"/>
    <x v="9"/>
    <x v="4"/>
    <x v="2"/>
    <x v="10"/>
    <n v="4"/>
    <n v="2500"/>
    <x v="20"/>
    <n v="8100.0000000000009"/>
    <n v="1899.9999999999991"/>
  </r>
  <r>
    <s v="ORD00461"/>
    <d v="2025-08-10T00:00:00"/>
    <x v="8"/>
    <x v="8"/>
    <x v="1"/>
    <x v="1"/>
    <x v="9"/>
    <n v="5"/>
    <n v="22000"/>
    <x v="105"/>
    <n v="88000"/>
    <n v="22000"/>
  </r>
  <r>
    <s v="ORD00462"/>
    <d v="2025-07-13T00:00:00"/>
    <x v="11"/>
    <x v="5"/>
    <x v="1"/>
    <x v="0"/>
    <x v="8"/>
    <n v="1"/>
    <n v="250"/>
    <x v="167"/>
    <n v="195"/>
    <n v="55"/>
  </r>
  <r>
    <s v="ORD00463"/>
    <d v="2025-06-07T00:00:00"/>
    <x v="5"/>
    <x v="2"/>
    <x v="3"/>
    <x v="2"/>
    <x v="14"/>
    <n v="15"/>
    <n v="28000"/>
    <x v="30"/>
    <n v="340200"/>
    <n v="79800"/>
  </r>
  <r>
    <s v="ORD00464"/>
    <d v="2025-12-16T00:00:00"/>
    <x v="1"/>
    <x v="9"/>
    <x v="4"/>
    <x v="0"/>
    <x v="8"/>
    <n v="16"/>
    <n v="250"/>
    <x v="103"/>
    <n v="2920"/>
    <n v="1080"/>
  </r>
  <r>
    <s v="ORD00465"/>
    <d v="2025-10-07T00:00:00"/>
    <x v="4"/>
    <x v="8"/>
    <x v="2"/>
    <x v="1"/>
    <x v="4"/>
    <n v="16"/>
    <n v="5000"/>
    <x v="23"/>
    <n v="58400"/>
    <n v="21600"/>
  </r>
  <r>
    <s v="ORD00466"/>
    <d v="2025-07-12T00:00:00"/>
    <x v="11"/>
    <x v="0"/>
    <x v="0"/>
    <x v="2"/>
    <x v="10"/>
    <n v="12"/>
    <n v="2500"/>
    <x v="128"/>
    <n v="22500"/>
    <n v="7500"/>
  </r>
  <r>
    <s v="ORD00467"/>
    <d v="2025-10-02T00:00:00"/>
    <x v="4"/>
    <x v="2"/>
    <x v="4"/>
    <x v="1"/>
    <x v="4"/>
    <n v="17"/>
    <n v="5000"/>
    <x v="118"/>
    <n v="64600"/>
    <n v="20400"/>
  </r>
  <r>
    <s v="ORD00468"/>
    <d v="2025-04-25T00:00:00"/>
    <x v="9"/>
    <x v="3"/>
    <x v="2"/>
    <x v="1"/>
    <x v="11"/>
    <n v="3"/>
    <n v="12000"/>
    <x v="45"/>
    <n v="26640"/>
    <n v="9360"/>
  </r>
  <r>
    <s v="ORD00469"/>
    <d v="2025-06-03T00:00:00"/>
    <x v="5"/>
    <x v="2"/>
    <x v="3"/>
    <x v="2"/>
    <x v="16"/>
    <n v="8"/>
    <n v="1500"/>
    <x v="56"/>
    <n v="9480"/>
    <n v="2520"/>
  </r>
  <r>
    <s v="ORD00470"/>
    <d v="2025-10-09T00:00:00"/>
    <x v="4"/>
    <x v="2"/>
    <x v="1"/>
    <x v="1"/>
    <x v="1"/>
    <n v="2"/>
    <n v="15000"/>
    <x v="128"/>
    <n v="23700"/>
    <n v="6300"/>
  </r>
  <r>
    <s v="ORD00471"/>
    <d v="2025-10-31T00:00:00"/>
    <x v="4"/>
    <x v="7"/>
    <x v="3"/>
    <x v="2"/>
    <x v="16"/>
    <n v="8"/>
    <n v="1500"/>
    <x v="56"/>
    <n v="8640"/>
    <n v="3360"/>
  </r>
  <r>
    <s v="ORD00472"/>
    <d v="2025-07-20T00:00:00"/>
    <x v="11"/>
    <x v="5"/>
    <x v="4"/>
    <x v="2"/>
    <x v="14"/>
    <n v="15"/>
    <n v="28000"/>
    <x v="30"/>
    <n v="340200"/>
    <n v="79800"/>
  </r>
  <r>
    <s v="ORD00473"/>
    <d v="2025-02-19T00:00:00"/>
    <x v="7"/>
    <x v="7"/>
    <x v="2"/>
    <x v="1"/>
    <x v="4"/>
    <n v="13"/>
    <n v="5000"/>
    <x v="189"/>
    <n v="47450"/>
    <n v="17550"/>
  </r>
  <r>
    <s v="ORD00474"/>
    <d v="2025-07-22T00:00:00"/>
    <x v="11"/>
    <x v="7"/>
    <x v="2"/>
    <x v="1"/>
    <x v="7"/>
    <n v="7"/>
    <n v="18000"/>
    <x v="139"/>
    <n v="104580"/>
    <n v="21420"/>
  </r>
  <r>
    <s v="ORD00475"/>
    <d v="2025-03-30T00:00:00"/>
    <x v="10"/>
    <x v="6"/>
    <x v="1"/>
    <x v="0"/>
    <x v="13"/>
    <n v="7"/>
    <n v="1200"/>
    <x v="125"/>
    <n v="6720"/>
    <n v="1680"/>
  </r>
  <r>
    <s v="ORD00476"/>
    <d v="2025-01-08T00:00:00"/>
    <x v="2"/>
    <x v="9"/>
    <x v="4"/>
    <x v="0"/>
    <x v="13"/>
    <n v="7"/>
    <n v="1200"/>
    <x v="125"/>
    <n v="6552"/>
    <n v="1848"/>
  </r>
  <r>
    <s v="ORD00477"/>
    <d v="2025-06-28T00:00:00"/>
    <x v="5"/>
    <x v="7"/>
    <x v="0"/>
    <x v="2"/>
    <x v="10"/>
    <n v="1"/>
    <n v="2500"/>
    <x v="100"/>
    <n v="1775"/>
    <n v="725"/>
  </r>
  <r>
    <s v="ORD00478"/>
    <d v="2025-10-05T00:00:00"/>
    <x v="4"/>
    <x v="0"/>
    <x v="2"/>
    <x v="1"/>
    <x v="7"/>
    <n v="17"/>
    <n v="18000"/>
    <x v="65"/>
    <n v="220320"/>
    <n v="85680"/>
  </r>
  <r>
    <s v="ORD00479"/>
    <d v="2025-12-24T00:00:00"/>
    <x v="1"/>
    <x v="8"/>
    <x v="4"/>
    <x v="2"/>
    <x v="5"/>
    <n v="7"/>
    <n v="25000"/>
    <x v="93"/>
    <n v="129500"/>
    <n v="45500"/>
  </r>
  <r>
    <s v="ORD00480"/>
    <d v="2025-09-09T00:00:00"/>
    <x v="0"/>
    <x v="7"/>
    <x v="3"/>
    <x v="1"/>
    <x v="4"/>
    <n v="5"/>
    <n v="5000"/>
    <x v="190"/>
    <n v="18000"/>
    <n v="7000"/>
  </r>
  <r>
    <s v="ORD00481"/>
    <d v="2025-10-16T00:00:00"/>
    <x v="4"/>
    <x v="6"/>
    <x v="4"/>
    <x v="1"/>
    <x v="1"/>
    <n v="2"/>
    <n v="15000"/>
    <x v="128"/>
    <n v="21300"/>
    <n v="8700"/>
  </r>
  <r>
    <s v="ORD00482"/>
    <d v="2025-02-20T00:00:00"/>
    <x v="7"/>
    <x v="5"/>
    <x v="2"/>
    <x v="0"/>
    <x v="3"/>
    <n v="13"/>
    <n v="150"/>
    <x v="191"/>
    <n v="1423.5"/>
    <n v="526.5"/>
  </r>
  <r>
    <s v="ORD00483"/>
    <d v="2025-09-08T00:00:00"/>
    <x v="0"/>
    <x v="7"/>
    <x v="4"/>
    <x v="0"/>
    <x v="12"/>
    <n v="18"/>
    <n v="800"/>
    <x v="134"/>
    <n v="10656"/>
    <n v="3744"/>
  </r>
  <r>
    <s v="ORD00484"/>
    <d v="2025-12-19T00:00:00"/>
    <x v="1"/>
    <x v="3"/>
    <x v="1"/>
    <x v="2"/>
    <x v="16"/>
    <n v="9"/>
    <n v="1500"/>
    <x v="187"/>
    <n v="11070"/>
    <n v="2430"/>
  </r>
  <r>
    <s v="ORD00485"/>
    <d v="2025-03-02T00:00:00"/>
    <x v="10"/>
    <x v="9"/>
    <x v="4"/>
    <x v="1"/>
    <x v="9"/>
    <n v="14"/>
    <n v="22000"/>
    <x v="37"/>
    <n v="218680"/>
    <n v="89320"/>
  </r>
  <r>
    <s v="ORD00486"/>
    <d v="2025-05-24T00:00:00"/>
    <x v="6"/>
    <x v="1"/>
    <x v="2"/>
    <x v="2"/>
    <x v="2"/>
    <n v="13"/>
    <n v="45000"/>
    <x v="119"/>
    <n v="421200"/>
    <n v="163800"/>
  </r>
  <r>
    <s v="ORD00487"/>
    <d v="2025-11-18T00:00:00"/>
    <x v="3"/>
    <x v="9"/>
    <x v="1"/>
    <x v="1"/>
    <x v="4"/>
    <n v="20"/>
    <n v="5000"/>
    <x v="8"/>
    <n v="71000"/>
    <n v="29000"/>
  </r>
  <r>
    <s v="ORD00488"/>
    <d v="2025-07-20T00:00:00"/>
    <x v="11"/>
    <x v="1"/>
    <x v="2"/>
    <x v="0"/>
    <x v="3"/>
    <n v="16"/>
    <n v="150"/>
    <x v="32"/>
    <n v="1992"/>
    <n v="408"/>
  </r>
  <r>
    <s v="ORD00489"/>
    <d v="2025-07-08T00:00:00"/>
    <x v="11"/>
    <x v="6"/>
    <x v="1"/>
    <x v="1"/>
    <x v="1"/>
    <n v="11"/>
    <n v="15000"/>
    <x v="192"/>
    <n v="125400"/>
    <n v="39600"/>
  </r>
  <r>
    <s v="ORD00490"/>
    <d v="2025-04-02T00:00:00"/>
    <x v="9"/>
    <x v="2"/>
    <x v="0"/>
    <x v="2"/>
    <x v="2"/>
    <n v="7"/>
    <n v="45000"/>
    <x v="154"/>
    <n v="261450"/>
    <n v="53550"/>
  </r>
  <r>
    <s v="ORD00491"/>
    <d v="2025-12-22T00:00:00"/>
    <x v="1"/>
    <x v="9"/>
    <x v="2"/>
    <x v="0"/>
    <x v="12"/>
    <n v="15"/>
    <n v="800"/>
    <x v="56"/>
    <n v="8880"/>
    <n v="3120"/>
  </r>
  <r>
    <s v="ORD00492"/>
    <d v="2025-10-03T00:00:00"/>
    <x v="4"/>
    <x v="7"/>
    <x v="0"/>
    <x v="1"/>
    <x v="1"/>
    <n v="5"/>
    <n v="15000"/>
    <x v="46"/>
    <n v="61499.999999999993"/>
    <n v="13500.000000000007"/>
  </r>
  <r>
    <s v="ORD00493"/>
    <d v="2025-08-10T00:00:00"/>
    <x v="8"/>
    <x v="7"/>
    <x v="2"/>
    <x v="2"/>
    <x v="2"/>
    <n v="14"/>
    <n v="45000"/>
    <x v="193"/>
    <n v="529200"/>
    <n v="100800"/>
  </r>
  <r>
    <s v="ORD00494"/>
    <d v="2025-04-05T00:00:00"/>
    <x v="9"/>
    <x v="4"/>
    <x v="0"/>
    <x v="1"/>
    <x v="9"/>
    <n v="1"/>
    <n v="22000"/>
    <x v="151"/>
    <n v="16940"/>
    <n v="5060"/>
  </r>
  <r>
    <s v="ORD00495"/>
    <d v="2025-03-28T00:00:00"/>
    <x v="10"/>
    <x v="9"/>
    <x v="3"/>
    <x v="0"/>
    <x v="12"/>
    <n v="17"/>
    <n v="800"/>
    <x v="41"/>
    <n v="9928"/>
    <n v="3672"/>
  </r>
  <r>
    <s v="ORD00496"/>
    <d v="2025-01-23T00:00:00"/>
    <x v="2"/>
    <x v="7"/>
    <x v="0"/>
    <x v="1"/>
    <x v="4"/>
    <n v="4"/>
    <n v="5000"/>
    <x v="144"/>
    <n v="15800"/>
    <n v="4200"/>
  </r>
  <r>
    <s v="ORD00497"/>
    <d v="2025-12-17T00:00:00"/>
    <x v="1"/>
    <x v="5"/>
    <x v="2"/>
    <x v="2"/>
    <x v="10"/>
    <n v="10"/>
    <n v="2500"/>
    <x v="190"/>
    <n v="19500"/>
    <n v="5500"/>
  </r>
  <r>
    <s v="ORD00498"/>
    <d v="2025-03-16T00:00:00"/>
    <x v="10"/>
    <x v="8"/>
    <x v="4"/>
    <x v="1"/>
    <x v="7"/>
    <n v="3"/>
    <n v="18000"/>
    <x v="120"/>
    <n v="42660"/>
    <n v="11340"/>
  </r>
  <r>
    <s v="ORD00499"/>
    <d v="2025-03-04T00:00:00"/>
    <x v="10"/>
    <x v="3"/>
    <x v="2"/>
    <x v="2"/>
    <x v="14"/>
    <n v="15"/>
    <n v="28000"/>
    <x v="30"/>
    <n v="319200"/>
    <n v="100800"/>
  </r>
  <r>
    <s v="ORD00500"/>
    <d v="2025-06-18T00:00:00"/>
    <x v="5"/>
    <x v="6"/>
    <x v="3"/>
    <x v="2"/>
    <x v="6"/>
    <n v="9"/>
    <n v="35000"/>
    <x v="154"/>
    <n v="261450"/>
    <n v="53550"/>
  </r>
  <r>
    <s v="ORD00501"/>
    <d v="2025-01-29T00:00:00"/>
    <x v="2"/>
    <x v="7"/>
    <x v="3"/>
    <x v="2"/>
    <x v="16"/>
    <n v="14"/>
    <n v="1500"/>
    <x v="73"/>
    <n v="15330"/>
    <n v="5670"/>
  </r>
  <r>
    <s v="ORD00502"/>
    <d v="2025-01-02T00:00:00"/>
    <x v="2"/>
    <x v="5"/>
    <x v="0"/>
    <x v="2"/>
    <x v="15"/>
    <n v="13"/>
    <n v="85000"/>
    <x v="194"/>
    <n v="795600"/>
    <n v="309400"/>
  </r>
  <r>
    <s v="ORD00503"/>
    <d v="2025-11-28T00:00:00"/>
    <x v="3"/>
    <x v="0"/>
    <x v="0"/>
    <x v="0"/>
    <x v="3"/>
    <n v="5"/>
    <n v="150"/>
    <x v="143"/>
    <n v="562.5"/>
    <n v="187.5"/>
  </r>
  <r>
    <s v="ORD00504"/>
    <d v="2025-07-22T00:00:00"/>
    <x v="11"/>
    <x v="9"/>
    <x v="4"/>
    <x v="0"/>
    <x v="13"/>
    <n v="6"/>
    <n v="1200"/>
    <x v="27"/>
    <n v="5760"/>
    <n v="1440"/>
  </r>
  <r>
    <s v="ORD00505"/>
    <d v="2025-10-15T00:00:00"/>
    <x v="4"/>
    <x v="9"/>
    <x v="4"/>
    <x v="1"/>
    <x v="11"/>
    <n v="8"/>
    <n v="12000"/>
    <x v="98"/>
    <n v="72000"/>
    <n v="24000"/>
  </r>
  <r>
    <s v="ORD00506"/>
    <d v="2025-10-08T00:00:00"/>
    <x v="4"/>
    <x v="1"/>
    <x v="4"/>
    <x v="0"/>
    <x v="3"/>
    <n v="2"/>
    <n v="150"/>
    <x v="145"/>
    <n v="225"/>
    <n v="75"/>
  </r>
  <r>
    <s v="ORD00507"/>
    <d v="2025-08-15T00:00:00"/>
    <x v="8"/>
    <x v="0"/>
    <x v="2"/>
    <x v="0"/>
    <x v="12"/>
    <n v="3"/>
    <n v="800"/>
    <x v="32"/>
    <n v="1728"/>
    <n v="672"/>
  </r>
  <r>
    <s v="ORD00508"/>
    <d v="2025-07-20T00:00:00"/>
    <x v="11"/>
    <x v="3"/>
    <x v="0"/>
    <x v="2"/>
    <x v="15"/>
    <n v="9"/>
    <n v="85000"/>
    <x v="3"/>
    <n v="596700"/>
    <n v="168300"/>
  </r>
  <r>
    <s v="ORD00509"/>
    <d v="2025-06-22T00:00:00"/>
    <x v="5"/>
    <x v="5"/>
    <x v="0"/>
    <x v="0"/>
    <x v="12"/>
    <n v="16"/>
    <n v="800"/>
    <x v="195"/>
    <n v="10624"/>
    <n v="2176"/>
  </r>
  <r>
    <s v="ORD00510"/>
    <d v="2025-06-28T00:00:00"/>
    <x v="5"/>
    <x v="8"/>
    <x v="2"/>
    <x v="2"/>
    <x v="15"/>
    <n v="2"/>
    <n v="85000"/>
    <x v="196"/>
    <n v="122400"/>
    <n v="47600"/>
  </r>
  <r>
    <s v="ORD00511"/>
    <d v="2025-04-29T00:00:00"/>
    <x v="9"/>
    <x v="9"/>
    <x v="4"/>
    <x v="0"/>
    <x v="0"/>
    <n v="3"/>
    <n v="300"/>
    <x v="164"/>
    <n v="747"/>
    <n v="153"/>
  </r>
  <r>
    <s v="ORD00512"/>
    <d v="2025-12-07T00:00:00"/>
    <x v="1"/>
    <x v="9"/>
    <x v="0"/>
    <x v="2"/>
    <x v="5"/>
    <n v="3"/>
    <n v="25000"/>
    <x v="46"/>
    <n v="60750.000000000007"/>
    <n v="14249.999999999993"/>
  </r>
  <r>
    <s v="ORD00513"/>
    <d v="2025-03-02T00:00:00"/>
    <x v="10"/>
    <x v="8"/>
    <x v="3"/>
    <x v="1"/>
    <x v="4"/>
    <n v="10"/>
    <n v="5000"/>
    <x v="11"/>
    <n v="35000"/>
    <n v="15000"/>
  </r>
  <r>
    <s v="ORD00514"/>
    <d v="2025-12-18T00:00:00"/>
    <x v="1"/>
    <x v="3"/>
    <x v="0"/>
    <x v="2"/>
    <x v="16"/>
    <n v="6"/>
    <n v="1500"/>
    <x v="197"/>
    <n v="6840"/>
    <n v="2160"/>
  </r>
  <r>
    <s v="ORD00515"/>
    <d v="2025-04-15T00:00:00"/>
    <x v="9"/>
    <x v="5"/>
    <x v="2"/>
    <x v="0"/>
    <x v="0"/>
    <n v="5"/>
    <n v="300"/>
    <x v="92"/>
    <n v="1260"/>
    <n v="240"/>
  </r>
  <r>
    <s v="ORD00516"/>
    <d v="2025-05-16T00:00:00"/>
    <x v="6"/>
    <x v="4"/>
    <x v="3"/>
    <x v="0"/>
    <x v="13"/>
    <n v="10"/>
    <n v="1200"/>
    <x v="56"/>
    <n v="8760"/>
    <n v="3240"/>
  </r>
  <r>
    <s v="ORD00517"/>
    <d v="2025-06-17T00:00:00"/>
    <x v="5"/>
    <x v="2"/>
    <x v="2"/>
    <x v="0"/>
    <x v="3"/>
    <n v="15"/>
    <n v="150"/>
    <x v="25"/>
    <n v="1845"/>
    <n v="405"/>
  </r>
  <r>
    <s v="ORD00518"/>
    <d v="2025-11-27T00:00:00"/>
    <x v="3"/>
    <x v="3"/>
    <x v="3"/>
    <x v="0"/>
    <x v="3"/>
    <n v="15"/>
    <n v="150"/>
    <x v="25"/>
    <n v="1597.5"/>
    <n v="652.5"/>
  </r>
  <r>
    <s v="ORD00519"/>
    <d v="2025-01-12T00:00:00"/>
    <x v="2"/>
    <x v="6"/>
    <x v="0"/>
    <x v="2"/>
    <x v="10"/>
    <n v="16"/>
    <n v="2500"/>
    <x v="82"/>
    <n v="30000"/>
    <n v="10000"/>
  </r>
  <r>
    <s v="ORD00520"/>
    <d v="2025-05-11T00:00:00"/>
    <x v="6"/>
    <x v="6"/>
    <x v="3"/>
    <x v="0"/>
    <x v="13"/>
    <n v="14"/>
    <n v="1200"/>
    <x v="91"/>
    <n v="13944"/>
    <n v="2856"/>
  </r>
  <r>
    <s v="ORD00521"/>
    <d v="2025-03-24T00:00:00"/>
    <x v="10"/>
    <x v="2"/>
    <x v="1"/>
    <x v="2"/>
    <x v="5"/>
    <n v="17"/>
    <n v="25000"/>
    <x v="6"/>
    <n v="335750"/>
    <n v="89250"/>
  </r>
  <r>
    <s v="ORD00522"/>
    <d v="2025-03-11T00:00:00"/>
    <x v="10"/>
    <x v="4"/>
    <x v="3"/>
    <x v="1"/>
    <x v="4"/>
    <n v="19"/>
    <n v="5000"/>
    <x v="198"/>
    <n v="70300"/>
    <n v="24700"/>
  </r>
  <r>
    <s v="ORD00523"/>
    <d v="2025-08-15T00:00:00"/>
    <x v="8"/>
    <x v="0"/>
    <x v="2"/>
    <x v="2"/>
    <x v="15"/>
    <n v="11"/>
    <n v="85000"/>
    <x v="110"/>
    <n v="785400"/>
    <n v="149600"/>
  </r>
  <r>
    <s v="ORD00524"/>
    <d v="2025-04-07T00:00:00"/>
    <x v="9"/>
    <x v="1"/>
    <x v="4"/>
    <x v="2"/>
    <x v="16"/>
    <n v="10"/>
    <n v="1500"/>
    <x v="121"/>
    <n v="10500"/>
    <n v="4500"/>
  </r>
  <r>
    <s v="ORD00525"/>
    <d v="2025-05-13T00:00:00"/>
    <x v="6"/>
    <x v="2"/>
    <x v="1"/>
    <x v="1"/>
    <x v="1"/>
    <n v="10"/>
    <n v="15000"/>
    <x v="38"/>
    <n v="112500"/>
    <n v="37500"/>
  </r>
  <r>
    <s v="ORD00526"/>
    <d v="2025-11-20T00:00:00"/>
    <x v="3"/>
    <x v="5"/>
    <x v="1"/>
    <x v="2"/>
    <x v="15"/>
    <n v="5"/>
    <n v="85000"/>
    <x v="6"/>
    <n v="318750"/>
    <n v="106250"/>
  </r>
  <r>
    <s v="ORD00527"/>
    <d v="2025-08-11T00:00:00"/>
    <x v="8"/>
    <x v="9"/>
    <x v="0"/>
    <x v="1"/>
    <x v="7"/>
    <n v="6"/>
    <n v="18000"/>
    <x v="75"/>
    <n v="87480"/>
    <n v="20520"/>
  </r>
  <r>
    <s v="ORD00528"/>
    <d v="2025-04-02T00:00:00"/>
    <x v="9"/>
    <x v="8"/>
    <x v="1"/>
    <x v="2"/>
    <x v="14"/>
    <n v="15"/>
    <n v="28000"/>
    <x v="30"/>
    <n v="306600"/>
    <n v="113400"/>
  </r>
  <r>
    <s v="ORD00529"/>
    <d v="2025-05-14T00:00:00"/>
    <x v="6"/>
    <x v="5"/>
    <x v="4"/>
    <x v="0"/>
    <x v="3"/>
    <n v="8"/>
    <n v="150"/>
    <x v="29"/>
    <n v="983.99999999999989"/>
    <n v="216.00000000000011"/>
  </r>
  <r>
    <s v="ORD00530"/>
    <d v="2025-07-14T00:00:00"/>
    <x v="11"/>
    <x v="3"/>
    <x v="4"/>
    <x v="2"/>
    <x v="16"/>
    <n v="8"/>
    <n v="1500"/>
    <x v="56"/>
    <n v="9480"/>
    <n v="2520"/>
  </r>
  <r>
    <s v="ORD00531"/>
    <d v="2025-04-07T00:00:00"/>
    <x v="9"/>
    <x v="0"/>
    <x v="4"/>
    <x v="0"/>
    <x v="0"/>
    <n v="12"/>
    <n v="300"/>
    <x v="109"/>
    <n v="2664"/>
    <n v="936"/>
  </r>
  <r>
    <s v="ORD00532"/>
    <d v="2025-02-15T00:00:00"/>
    <x v="7"/>
    <x v="3"/>
    <x v="3"/>
    <x v="2"/>
    <x v="16"/>
    <n v="14"/>
    <n v="1500"/>
    <x v="73"/>
    <n v="15750"/>
    <n v="5250"/>
  </r>
  <r>
    <s v="ORD00533"/>
    <d v="2025-03-04T00:00:00"/>
    <x v="10"/>
    <x v="7"/>
    <x v="4"/>
    <x v="0"/>
    <x v="12"/>
    <n v="17"/>
    <n v="800"/>
    <x v="41"/>
    <n v="10608"/>
    <n v="2992"/>
  </r>
  <r>
    <s v="ORD00534"/>
    <d v="2025-04-14T00:00:00"/>
    <x v="9"/>
    <x v="5"/>
    <x v="1"/>
    <x v="2"/>
    <x v="2"/>
    <n v="4"/>
    <n v="45000"/>
    <x v="1"/>
    <n v="142200"/>
    <n v="37800"/>
  </r>
  <r>
    <s v="ORD00535"/>
    <d v="2025-03-18T00:00:00"/>
    <x v="10"/>
    <x v="1"/>
    <x v="1"/>
    <x v="1"/>
    <x v="1"/>
    <n v="16"/>
    <n v="15000"/>
    <x v="199"/>
    <n v="196800"/>
    <n v="43200"/>
  </r>
  <r>
    <s v="ORD00536"/>
    <d v="2025-08-23T00:00:00"/>
    <x v="8"/>
    <x v="1"/>
    <x v="1"/>
    <x v="0"/>
    <x v="0"/>
    <n v="8"/>
    <n v="300"/>
    <x v="32"/>
    <n v="1800"/>
    <n v="600"/>
  </r>
  <r>
    <s v="ORD00537"/>
    <d v="2025-05-13T00:00:00"/>
    <x v="6"/>
    <x v="5"/>
    <x v="3"/>
    <x v="2"/>
    <x v="16"/>
    <n v="20"/>
    <n v="1500"/>
    <x v="128"/>
    <n v="22200"/>
    <n v="7800"/>
  </r>
  <r>
    <s v="ORD00538"/>
    <d v="2025-11-13T00:00:00"/>
    <x v="3"/>
    <x v="0"/>
    <x v="4"/>
    <x v="2"/>
    <x v="14"/>
    <n v="18"/>
    <n v="28000"/>
    <x v="52"/>
    <n v="408240"/>
    <n v="95760"/>
  </r>
  <r>
    <s v="ORD00539"/>
    <d v="2025-06-03T00:00:00"/>
    <x v="5"/>
    <x v="7"/>
    <x v="2"/>
    <x v="0"/>
    <x v="13"/>
    <n v="11"/>
    <n v="1200"/>
    <x v="135"/>
    <n v="11220"/>
    <n v="1980"/>
  </r>
  <r>
    <s v="ORD00540"/>
    <d v="2025-09-09T00:00:00"/>
    <x v="0"/>
    <x v="8"/>
    <x v="3"/>
    <x v="2"/>
    <x v="14"/>
    <n v="7"/>
    <n v="28000"/>
    <x v="94"/>
    <n v="148960"/>
    <n v="47040"/>
  </r>
  <r>
    <s v="ORD00541"/>
    <d v="2025-08-13T00:00:00"/>
    <x v="8"/>
    <x v="4"/>
    <x v="3"/>
    <x v="1"/>
    <x v="7"/>
    <n v="19"/>
    <n v="18000"/>
    <x v="88"/>
    <n v="270180"/>
    <n v="71820"/>
  </r>
  <r>
    <s v="ORD00542"/>
    <d v="2025-01-27T00:00:00"/>
    <x v="2"/>
    <x v="3"/>
    <x v="4"/>
    <x v="1"/>
    <x v="4"/>
    <n v="17"/>
    <n v="5000"/>
    <x v="118"/>
    <n v="69700"/>
    <n v="15300"/>
  </r>
  <r>
    <s v="ORD00543"/>
    <d v="2025-01-19T00:00:00"/>
    <x v="2"/>
    <x v="8"/>
    <x v="2"/>
    <x v="2"/>
    <x v="2"/>
    <n v="6"/>
    <n v="45000"/>
    <x v="48"/>
    <n v="221400"/>
    <n v="48600"/>
  </r>
  <r>
    <s v="ORD00544"/>
    <d v="2025-01-12T00:00:00"/>
    <x v="2"/>
    <x v="7"/>
    <x v="0"/>
    <x v="0"/>
    <x v="13"/>
    <n v="10"/>
    <n v="1200"/>
    <x v="56"/>
    <n v="9120"/>
    <n v="2880"/>
  </r>
  <r>
    <s v="ORD00545"/>
    <d v="2025-05-17T00:00:00"/>
    <x v="6"/>
    <x v="0"/>
    <x v="4"/>
    <x v="2"/>
    <x v="2"/>
    <n v="19"/>
    <n v="45000"/>
    <x v="200"/>
    <n v="624150"/>
    <n v="230850"/>
  </r>
  <r>
    <s v="ORD00546"/>
    <d v="2025-12-31T00:00:00"/>
    <x v="1"/>
    <x v="7"/>
    <x v="4"/>
    <x v="0"/>
    <x v="13"/>
    <n v="8"/>
    <n v="1200"/>
    <x v="166"/>
    <n v="7488"/>
    <n v="2112"/>
  </r>
  <r>
    <s v="ORD00547"/>
    <d v="2025-12-28T00:00:00"/>
    <x v="1"/>
    <x v="0"/>
    <x v="3"/>
    <x v="2"/>
    <x v="5"/>
    <n v="11"/>
    <n v="25000"/>
    <x v="201"/>
    <n v="209000"/>
    <n v="66000"/>
  </r>
  <r>
    <s v="ORD00548"/>
    <d v="2025-02-13T00:00:00"/>
    <x v="7"/>
    <x v="4"/>
    <x v="2"/>
    <x v="0"/>
    <x v="12"/>
    <n v="17"/>
    <n v="800"/>
    <x v="41"/>
    <n v="10064"/>
    <n v="3536"/>
  </r>
  <r>
    <s v="ORD00549"/>
    <d v="2025-05-08T00:00:00"/>
    <x v="6"/>
    <x v="8"/>
    <x v="2"/>
    <x v="2"/>
    <x v="6"/>
    <n v="2"/>
    <n v="35000"/>
    <x v="148"/>
    <n v="52500"/>
    <n v="17500"/>
  </r>
  <r>
    <s v="ORD00550"/>
    <d v="2025-02-12T00:00:00"/>
    <x v="7"/>
    <x v="1"/>
    <x v="3"/>
    <x v="0"/>
    <x v="3"/>
    <n v="3"/>
    <n v="150"/>
    <x v="4"/>
    <n v="333"/>
    <n v="117"/>
  </r>
  <r>
    <s v="ORD00551"/>
    <d v="2025-12-26T00:00:00"/>
    <x v="1"/>
    <x v="1"/>
    <x v="3"/>
    <x v="0"/>
    <x v="12"/>
    <n v="8"/>
    <n v="800"/>
    <x v="63"/>
    <n v="4672"/>
    <n v="1728"/>
  </r>
  <r>
    <s v="ORD00552"/>
    <d v="2025-07-30T00:00:00"/>
    <x v="11"/>
    <x v="9"/>
    <x v="3"/>
    <x v="1"/>
    <x v="7"/>
    <n v="10"/>
    <n v="18000"/>
    <x v="1"/>
    <n v="133200"/>
    <n v="46800"/>
  </r>
  <r>
    <s v="ORD00553"/>
    <d v="2025-08-02T00:00:00"/>
    <x v="8"/>
    <x v="5"/>
    <x v="0"/>
    <x v="1"/>
    <x v="11"/>
    <n v="16"/>
    <n v="12000"/>
    <x v="202"/>
    <n v="147840"/>
    <n v="44160"/>
  </r>
  <r>
    <s v="ORD00554"/>
    <d v="2025-11-30T00:00:00"/>
    <x v="3"/>
    <x v="4"/>
    <x v="1"/>
    <x v="0"/>
    <x v="0"/>
    <n v="20"/>
    <n v="300"/>
    <x v="141"/>
    <n v="4440"/>
    <n v="1560"/>
  </r>
  <r>
    <s v="ORD00555"/>
    <d v="2025-03-03T00:00:00"/>
    <x v="10"/>
    <x v="5"/>
    <x v="4"/>
    <x v="0"/>
    <x v="12"/>
    <n v="13"/>
    <n v="800"/>
    <x v="72"/>
    <n v="8216"/>
    <n v="2184"/>
  </r>
  <r>
    <s v="ORD00556"/>
    <d v="2025-11-25T00:00:00"/>
    <x v="3"/>
    <x v="5"/>
    <x v="3"/>
    <x v="1"/>
    <x v="9"/>
    <n v="18"/>
    <n v="22000"/>
    <x v="44"/>
    <n v="297000"/>
    <n v="99000"/>
  </r>
  <r>
    <s v="ORD00557"/>
    <d v="2025-10-20T00:00:00"/>
    <x v="4"/>
    <x v="3"/>
    <x v="0"/>
    <x v="1"/>
    <x v="7"/>
    <n v="5"/>
    <n v="18000"/>
    <x v="5"/>
    <n v="64800"/>
    <n v="25200"/>
  </r>
  <r>
    <s v="ORD00558"/>
    <d v="2025-12-05T00:00:00"/>
    <x v="1"/>
    <x v="3"/>
    <x v="4"/>
    <x v="1"/>
    <x v="9"/>
    <n v="18"/>
    <n v="22000"/>
    <x v="44"/>
    <n v="332640"/>
    <n v="63360"/>
  </r>
  <r>
    <s v="ORD00559"/>
    <d v="2025-01-03T00:00:00"/>
    <x v="2"/>
    <x v="1"/>
    <x v="1"/>
    <x v="0"/>
    <x v="8"/>
    <n v="14"/>
    <n v="250"/>
    <x v="142"/>
    <n v="2940"/>
    <n v="560"/>
  </r>
  <r>
    <s v="ORD00560"/>
    <d v="2025-12-22T00:00:00"/>
    <x v="1"/>
    <x v="3"/>
    <x v="4"/>
    <x v="0"/>
    <x v="0"/>
    <n v="6"/>
    <n v="300"/>
    <x v="81"/>
    <n v="1458"/>
    <n v="342"/>
  </r>
  <r>
    <s v="ORD00561"/>
    <d v="2025-02-02T00:00:00"/>
    <x v="7"/>
    <x v="8"/>
    <x v="0"/>
    <x v="2"/>
    <x v="15"/>
    <n v="18"/>
    <n v="85000"/>
    <x v="203"/>
    <n v="1162800"/>
    <n v="367200"/>
  </r>
  <r>
    <s v="ORD00562"/>
    <d v="2025-07-11T00:00:00"/>
    <x v="11"/>
    <x v="3"/>
    <x v="3"/>
    <x v="0"/>
    <x v="8"/>
    <n v="12"/>
    <n v="250"/>
    <x v="68"/>
    <n v="2310"/>
    <n v="690"/>
  </r>
  <r>
    <s v="ORD00563"/>
    <d v="2025-06-26T00:00:00"/>
    <x v="5"/>
    <x v="2"/>
    <x v="4"/>
    <x v="2"/>
    <x v="14"/>
    <n v="11"/>
    <n v="28000"/>
    <x v="37"/>
    <n v="227920"/>
    <n v="80080"/>
  </r>
  <r>
    <s v="ORD00564"/>
    <d v="2025-12-09T00:00:00"/>
    <x v="1"/>
    <x v="3"/>
    <x v="2"/>
    <x v="0"/>
    <x v="12"/>
    <n v="12"/>
    <n v="800"/>
    <x v="166"/>
    <n v="7584"/>
    <n v="2016"/>
  </r>
  <r>
    <s v="ORD00565"/>
    <d v="2025-03-07T00:00:00"/>
    <x v="10"/>
    <x v="9"/>
    <x v="1"/>
    <x v="2"/>
    <x v="10"/>
    <n v="1"/>
    <n v="2500"/>
    <x v="100"/>
    <n v="1875"/>
    <n v="625"/>
  </r>
  <r>
    <s v="ORD00566"/>
    <d v="2025-08-14T00:00:00"/>
    <x v="8"/>
    <x v="7"/>
    <x v="0"/>
    <x v="1"/>
    <x v="1"/>
    <n v="11"/>
    <n v="15000"/>
    <x v="192"/>
    <n v="125400"/>
    <n v="39600"/>
  </r>
  <r>
    <s v="ORD00567"/>
    <d v="2025-05-21T00:00:00"/>
    <x v="6"/>
    <x v="7"/>
    <x v="0"/>
    <x v="1"/>
    <x v="11"/>
    <n v="2"/>
    <n v="12000"/>
    <x v="19"/>
    <n v="18960"/>
    <n v="5040"/>
  </r>
  <r>
    <s v="ORD00568"/>
    <d v="2025-12-30T00:00:00"/>
    <x v="1"/>
    <x v="6"/>
    <x v="2"/>
    <x v="1"/>
    <x v="7"/>
    <n v="11"/>
    <n v="18000"/>
    <x v="85"/>
    <n v="144540"/>
    <n v="53460"/>
  </r>
  <r>
    <s v="ORD00569"/>
    <d v="2025-09-30T00:00:00"/>
    <x v="0"/>
    <x v="5"/>
    <x v="1"/>
    <x v="1"/>
    <x v="4"/>
    <n v="15"/>
    <n v="5000"/>
    <x v="46"/>
    <n v="61499.999999999993"/>
    <n v="13500.000000000007"/>
  </r>
  <r>
    <s v="ORD00570"/>
    <d v="2025-03-29T00:00:00"/>
    <x v="10"/>
    <x v="1"/>
    <x v="1"/>
    <x v="0"/>
    <x v="13"/>
    <n v="5"/>
    <n v="1200"/>
    <x v="141"/>
    <n v="4800"/>
    <n v="1200"/>
  </r>
  <r>
    <s v="ORD00571"/>
    <d v="2025-12-11T00:00:00"/>
    <x v="1"/>
    <x v="0"/>
    <x v="3"/>
    <x v="0"/>
    <x v="8"/>
    <n v="8"/>
    <n v="250"/>
    <x v="67"/>
    <n v="1680"/>
    <n v="320"/>
  </r>
  <r>
    <s v="ORD00572"/>
    <d v="2025-07-29T00:00:00"/>
    <x v="11"/>
    <x v="4"/>
    <x v="0"/>
    <x v="0"/>
    <x v="3"/>
    <n v="3"/>
    <n v="150"/>
    <x v="4"/>
    <n v="369"/>
    <n v="81"/>
  </r>
  <r>
    <s v="ORD00573"/>
    <d v="2025-10-09T00:00:00"/>
    <x v="4"/>
    <x v="6"/>
    <x v="2"/>
    <x v="1"/>
    <x v="9"/>
    <n v="14"/>
    <n v="22000"/>
    <x v="37"/>
    <n v="249480.00000000003"/>
    <n v="58519.999999999971"/>
  </r>
  <r>
    <s v="ORD00574"/>
    <d v="2025-07-18T00:00:00"/>
    <x v="11"/>
    <x v="6"/>
    <x v="0"/>
    <x v="0"/>
    <x v="0"/>
    <n v="4"/>
    <n v="300"/>
    <x v="29"/>
    <n v="996"/>
    <n v="204"/>
  </r>
  <r>
    <s v="ORD00575"/>
    <d v="2025-03-10T00:00:00"/>
    <x v="10"/>
    <x v="2"/>
    <x v="0"/>
    <x v="2"/>
    <x v="14"/>
    <n v="8"/>
    <n v="28000"/>
    <x v="179"/>
    <n v="165760"/>
    <n v="58240"/>
  </r>
  <r>
    <s v="ORD00576"/>
    <d v="2025-08-22T00:00:00"/>
    <x v="8"/>
    <x v="8"/>
    <x v="1"/>
    <x v="2"/>
    <x v="2"/>
    <n v="13"/>
    <n v="45000"/>
    <x v="119"/>
    <n v="456300"/>
    <n v="128700"/>
  </r>
  <r>
    <s v="ORD00577"/>
    <d v="2025-06-22T00:00:00"/>
    <x v="5"/>
    <x v="4"/>
    <x v="1"/>
    <x v="1"/>
    <x v="1"/>
    <n v="4"/>
    <n v="15000"/>
    <x v="84"/>
    <n v="42000"/>
    <n v="18000"/>
  </r>
  <r>
    <s v="ORD00578"/>
    <d v="2025-02-22T00:00:00"/>
    <x v="7"/>
    <x v="0"/>
    <x v="4"/>
    <x v="0"/>
    <x v="8"/>
    <n v="9"/>
    <n v="250"/>
    <x v="25"/>
    <n v="1890"/>
    <n v="360"/>
  </r>
  <r>
    <s v="ORD00579"/>
    <d v="2025-05-30T00:00:00"/>
    <x v="6"/>
    <x v="6"/>
    <x v="1"/>
    <x v="1"/>
    <x v="11"/>
    <n v="17"/>
    <n v="12000"/>
    <x v="204"/>
    <n v="150960"/>
    <n v="53040"/>
  </r>
  <r>
    <s v="ORD00580"/>
    <d v="2025-10-29T00:00:00"/>
    <x v="4"/>
    <x v="2"/>
    <x v="4"/>
    <x v="2"/>
    <x v="5"/>
    <n v="11"/>
    <n v="25000"/>
    <x v="201"/>
    <n v="198000"/>
    <n v="77000"/>
  </r>
  <r>
    <s v="ORD00581"/>
    <d v="2025-03-24T00:00:00"/>
    <x v="10"/>
    <x v="7"/>
    <x v="3"/>
    <x v="0"/>
    <x v="0"/>
    <n v="8"/>
    <n v="300"/>
    <x v="32"/>
    <n v="1967.9999999999998"/>
    <n v="432.00000000000023"/>
  </r>
  <r>
    <s v="ORD00582"/>
    <d v="2025-01-10T00:00:00"/>
    <x v="2"/>
    <x v="9"/>
    <x v="4"/>
    <x v="2"/>
    <x v="5"/>
    <n v="9"/>
    <n v="25000"/>
    <x v="174"/>
    <n v="186750"/>
    <n v="38250"/>
  </r>
  <r>
    <s v="ORD00583"/>
    <d v="2025-11-11T00:00:00"/>
    <x v="3"/>
    <x v="9"/>
    <x v="1"/>
    <x v="2"/>
    <x v="15"/>
    <n v="16"/>
    <n v="85000"/>
    <x v="159"/>
    <n v="1142400"/>
    <n v="217600"/>
  </r>
  <r>
    <s v="ORD00584"/>
    <d v="2025-02-04T00:00:00"/>
    <x v="7"/>
    <x v="2"/>
    <x v="4"/>
    <x v="2"/>
    <x v="10"/>
    <n v="19"/>
    <n v="2500"/>
    <x v="83"/>
    <n v="37525"/>
    <n v="9975"/>
  </r>
  <r>
    <s v="ORD00585"/>
    <d v="2025-04-20T00:00:00"/>
    <x v="9"/>
    <x v="5"/>
    <x v="1"/>
    <x v="2"/>
    <x v="15"/>
    <n v="10"/>
    <n v="85000"/>
    <x v="165"/>
    <n v="705500"/>
    <n v="144500"/>
  </r>
  <r>
    <s v="ORD00586"/>
    <d v="2025-10-06T00:00:00"/>
    <x v="4"/>
    <x v="7"/>
    <x v="2"/>
    <x v="0"/>
    <x v="12"/>
    <n v="4"/>
    <n v="800"/>
    <x v="58"/>
    <n v="2304"/>
    <n v="896"/>
  </r>
  <r>
    <s v="ORD00587"/>
    <d v="2025-03-27T00:00:00"/>
    <x v="10"/>
    <x v="9"/>
    <x v="2"/>
    <x v="2"/>
    <x v="15"/>
    <n v="5"/>
    <n v="85000"/>
    <x v="6"/>
    <n v="340000"/>
    <n v="85000"/>
  </r>
  <r>
    <s v="ORD00588"/>
    <d v="2025-03-05T00:00:00"/>
    <x v="10"/>
    <x v="9"/>
    <x v="0"/>
    <x v="0"/>
    <x v="12"/>
    <n v="6"/>
    <n v="800"/>
    <x v="50"/>
    <n v="3840"/>
    <n v="960"/>
  </r>
  <r>
    <s v="ORD00589"/>
    <d v="2025-02-02T00:00:00"/>
    <x v="7"/>
    <x v="0"/>
    <x v="2"/>
    <x v="0"/>
    <x v="12"/>
    <n v="16"/>
    <n v="800"/>
    <x v="195"/>
    <n v="9600"/>
    <n v="3200"/>
  </r>
  <r>
    <s v="ORD00590"/>
    <d v="2025-08-15T00:00:00"/>
    <x v="8"/>
    <x v="8"/>
    <x v="4"/>
    <x v="2"/>
    <x v="16"/>
    <n v="16"/>
    <n v="1500"/>
    <x v="19"/>
    <n v="19680"/>
    <n v="4320"/>
  </r>
  <r>
    <s v="ORD00591"/>
    <d v="2025-11-27T00:00:00"/>
    <x v="3"/>
    <x v="6"/>
    <x v="4"/>
    <x v="2"/>
    <x v="14"/>
    <n v="16"/>
    <n v="28000"/>
    <x v="71"/>
    <n v="318080"/>
    <n v="129920"/>
  </r>
  <r>
    <s v="ORD00592"/>
    <d v="2025-04-19T00:00:00"/>
    <x v="9"/>
    <x v="8"/>
    <x v="4"/>
    <x v="0"/>
    <x v="13"/>
    <n v="20"/>
    <n v="1200"/>
    <x v="19"/>
    <n v="18000"/>
    <n v="6000"/>
  </r>
  <r>
    <s v="ORD00593"/>
    <d v="2025-02-16T00:00:00"/>
    <x v="7"/>
    <x v="9"/>
    <x v="0"/>
    <x v="2"/>
    <x v="5"/>
    <n v="20"/>
    <n v="25000"/>
    <x v="205"/>
    <n v="415000"/>
    <n v="85000"/>
  </r>
  <r>
    <s v="ORD00594"/>
    <d v="2025-05-14T00:00:00"/>
    <x v="6"/>
    <x v="4"/>
    <x v="2"/>
    <x v="0"/>
    <x v="3"/>
    <n v="16"/>
    <n v="150"/>
    <x v="32"/>
    <n v="1872"/>
    <n v="528"/>
  </r>
  <r>
    <s v="ORD00595"/>
    <d v="2025-07-09T00:00:00"/>
    <x v="11"/>
    <x v="9"/>
    <x v="0"/>
    <x v="0"/>
    <x v="12"/>
    <n v="11"/>
    <n v="800"/>
    <x v="104"/>
    <n v="6600"/>
    <n v="2200"/>
  </r>
  <r>
    <s v="ORD00596"/>
    <d v="2025-06-12T00:00:00"/>
    <x v="5"/>
    <x v="4"/>
    <x v="2"/>
    <x v="0"/>
    <x v="12"/>
    <n v="7"/>
    <n v="800"/>
    <x v="206"/>
    <n v="4088"/>
    <n v="1512"/>
  </r>
  <r>
    <s v="ORD00597"/>
    <d v="2025-03-12T00:00:00"/>
    <x v="10"/>
    <x v="6"/>
    <x v="4"/>
    <x v="2"/>
    <x v="6"/>
    <n v="17"/>
    <n v="35000"/>
    <x v="138"/>
    <n v="428400"/>
    <n v="166600"/>
  </r>
  <r>
    <s v="ORD00598"/>
    <d v="2025-12-02T00:00:00"/>
    <x v="1"/>
    <x v="8"/>
    <x v="1"/>
    <x v="2"/>
    <x v="16"/>
    <n v="14"/>
    <n v="1500"/>
    <x v="73"/>
    <n v="17430"/>
    <n v="3570"/>
  </r>
  <r>
    <s v="ORD00599"/>
    <d v="2025-07-31T00:00:00"/>
    <x v="11"/>
    <x v="5"/>
    <x v="4"/>
    <x v="0"/>
    <x v="8"/>
    <n v="8"/>
    <n v="250"/>
    <x v="67"/>
    <n v="1580"/>
    <n v="420"/>
  </r>
  <r>
    <s v="ORD00600"/>
    <d v="2025-08-18T00:00:00"/>
    <x v="8"/>
    <x v="0"/>
    <x v="0"/>
    <x v="0"/>
    <x v="3"/>
    <n v="18"/>
    <n v="150"/>
    <x v="7"/>
    <n v="2079"/>
    <n v="621"/>
  </r>
  <r>
    <s v="ORD00601"/>
    <d v="2025-07-12T00:00:00"/>
    <x v="11"/>
    <x v="2"/>
    <x v="0"/>
    <x v="2"/>
    <x v="2"/>
    <n v="8"/>
    <n v="45000"/>
    <x v="34"/>
    <n v="284400"/>
    <n v="75600"/>
  </r>
  <r>
    <s v="ORD00602"/>
    <d v="2025-11-28T00:00:00"/>
    <x v="3"/>
    <x v="7"/>
    <x v="3"/>
    <x v="1"/>
    <x v="9"/>
    <n v="17"/>
    <n v="22000"/>
    <x v="156"/>
    <n v="299200"/>
    <n v="74800"/>
  </r>
  <r>
    <s v="ORD00603"/>
    <d v="2025-09-17T00:00:00"/>
    <x v="0"/>
    <x v="6"/>
    <x v="2"/>
    <x v="1"/>
    <x v="11"/>
    <n v="16"/>
    <n v="12000"/>
    <x v="202"/>
    <n v="149760"/>
    <n v="42240"/>
  </r>
  <r>
    <s v="ORD00604"/>
    <d v="2025-07-28T00:00:00"/>
    <x v="11"/>
    <x v="9"/>
    <x v="4"/>
    <x v="2"/>
    <x v="16"/>
    <n v="11"/>
    <n v="1500"/>
    <x v="186"/>
    <n v="13530"/>
    <n v="2970"/>
  </r>
  <r>
    <s v="ORD00605"/>
    <d v="2025-07-01T00:00:00"/>
    <x v="11"/>
    <x v="4"/>
    <x v="3"/>
    <x v="1"/>
    <x v="4"/>
    <n v="10"/>
    <n v="5000"/>
    <x v="11"/>
    <n v="36000"/>
    <n v="14000"/>
  </r>
  <r>
    <s v="ORD00606"/>
    <d v="2025-11-19T00:00:00"/>
    <x v="3"/>
    <x v="5"/>
    <x v="2"/>
    <x v="1"/>
    <x v="4"/>
    <n v="19"/>
    <n v="5000"/>
    <x v="198"/>
    <n v="78850"/>
    <n v="16150"/>
  </r>
  <r>
    <s v="ORD00607"/>
    <d v="2025-08-13T00:00:00"/>
    <x v="8"/>
    <x v="3"/>
    <x v="3"/>
    <x v="2"/>
    <x v="5"/>
    <n v="18"/>
    <n v="25000"/>
    <x v="47"/>
    <n v="355500"/>
    <n v="94500"/>
  </r>
  <r>
    <s v="ORD00608"/>
    <d v="2025-11-02T00:00:00"/>
    <x v="3"/>
    <x v="0"/>
    <x v="0"/>
    <x v="0"/>
    <x v="8"/>
    <n v="15"/>
    <n v="250"/>
    <x v="106"/>
    <n v="3000"/>
    <n v="750"/>
  </r>
  <r>
    <s v="ORD00609"/>
    <d v="2025-08-18T00:00:00"/>
    <x v="8"/>
    <x v="8"/>
    <x v="0"/>
    <x v="2"/>
    <x v="6"/>
    <n v="4"/>
    <n v="35000"/>
    <x v="70"/>
    <n v="103600"/>
    <n v="36400"/>
  </r>
  <r>
    <s v="ORD00610"/>
    <d v="2025-07-12T00:00:00"/>
    <x v="11"/>
    <x v="2"/>
    <x v="0"/>
    <x v="1"/>
    <x v="11"/>
    <n v="16"/>
    <n v="12000"/>
    <x v="202"/>
    <n v="144000"/>
    <n v="48000"/>
  </r>
  <r>
    <s v="ORD00611"/>
    <d v="2025-07-22T00:00:00"/>
    <x v="11"/>
    <x v="8"/>
    <x v="2"/>
    <x v="0"/>
    <x v="8"/>
    <n v="8"/>
    <n v="250"/>
    <x v="67"/>
    <n v="1520"/>
    <n v="480"/>
  </r>
  <r>
    <s v="ORD00612"/>
    <d v="2025-07-07T00:00:00"/>
    <x v="11"/>
    <x v="1"/>
    <x v="3"/>
    <x v="2"/>
    <x v="16"/>
    <n v="17"/>
    <n v="1500"/>
    <x v="207"/>
    <n v="17850"/>
    <n v="7650"/>
  </r>
  <r>
    <s v="ORD00613"/>
    <d v="2025-07-08T00:00:00"/>
    <x v="11"/>
    <x v="2"/>
    <x v="0"/>
    <x v="1"/>
    <x v="11"/>
    <n v="9"/>
    <n v="12000"/>
    <x v="75"/>
    <n v="78840"/>
    <n v="29160"/>
  </r>
  <r>
    <s v="ORD00614"/>
    <d v="2025-10-27T00:00:00"/>
    <x v="4"/>
    <x v="1"/>
    <x v="3"/>
    <x v="0"/>
    <x v="12"/>
    <n v="17"/>
    <n v="800"/>
    <x v="41"/>
    <n v="10608"/>
    <n v="2992"/>
  </r>
  <r>
    <s v="ORD00615"/>
    <d v="2025-01-13T00:00:00"/>
    <x v="2"/>
    <x v="0"/>
    <x v="3"/>
    <x v="1"/>
    <x v="9"/>
    <n v="16"/>
    <n v="22000"/>
    <x v="24"/>
    <n v="267520"/>
    <n v="84480"/>
  </r>
  <r>
    <s v="ORD00616"/>
    <d v="2025-08-25T00:00:00"/>
    <x v="8"/>
    <x v="3"/>
    <x v="1"/>
    <x v="1"/>
    <x v="7"/>
    <n v="13"/>
    <n v="18000"/>
    <x v="90"/>
    <n v="170820"/>
    <n v="63180"/>
  </r>
  <r>
    <s v="ORD00617"/>
    <d v="2025-01-03T00:00:00"/>
    <x v="2"/>
    <x v="2"/>
    <x v="4"/>
    <x v="1"/>
    <x v="7"/>
    <n v="19"/>
    <n v="18000"/>
    <x v="88"/>
    <n v="253080"/>
    <n v="88920"/>
  </r>
  <r>
    <s v="ORD00618"/>
    <d v="2025-08-15T00:00:00"/>
    <x v="8"/>
    <x v="0"/>
    <x v="2"/>
    <x v="2"/>
    <x v="2"/>
    <n v="16"/>
    <n v="45000"/>
    <x v="115"/>
    <n v="604800"/>
    <n v="115200"/>
  </r>
  <r>
    <s v="ORD00619"/>
    <d v="2025-09-11T00:00:00"/>
    <x v="0"/>
    <x v="8"/>
    <x v="2"/>
    <x v="1"/>
    <x v="7"/>
    <n v="12"/>
    <n v="18000"/>
    <x v="146"/>
    <n v="153360"/>
    <n v="62640"/>
  </r>
  <r>
    <s v="ORD00620"/>
    <d v="2025-07-24T00:00:00"/>
    <x v="11"/>
    <x v="5"/>
    <x v="0"/>
    <x v="1"/>
    <x v="4"/>
    <n v="6"/>
    <n v="5000"/>
    <x v="128"/>
    <n v="22200"/>
    <n v="7800"/>
  </r>
  <r>
    <s v="ORD00621"/>
    <d v="2025-02-24T00:00:00"/>
    <x v="7"/>
    <x v="9"/>
    <x v="2"/>
    <x v="0"/>
    <x v="3"/>
    <n v="6"/>
    <n v="150"/>
    <x v="164"/>
    <n v="747"/>
    <n v="153"/>
  </r>
  <r>
    <s v="ORD00622"/>
    <d v="2025-06-20T00:00:00"/>
    <x v="5"/>
    <x v="6"/>
    <x v="1"/>
    <x v="0"/>
    <x v="3"/>
    <n v="12"/>
    <n v="150"/>
    <x v="81"/>
    <n v="1350"/>
    <n v="450"/>
  </r>
  <r>
    <s v="ORD00623"/>
    <d v="2025-03-17T00:00:00"/>
    <x v="10"/>
    <x v="5"/>
    <x v="0"/>
    <x v="2"/>
    <x v="2"/>
    <n v="9"/>
    <n v="45000"/>
    <x v="160"/>
    <n v="299700"/>
    <n v="105300"/>
  </r>
  <r>
    <s v="ORD00624"/>
    <d v="2025-08-19T00:00:00"/>
    <x v="8"/>
    <x v="3"/>
    <x v="3"/>
    <x v="1"/>
    <x v="4"/>
    <n v="18"/>
    <n v="5000"/>
    <x v="5"/>
    <n v="65700"/>
    <n v="24300"/>
  </r>
  <r>
    <s v="ORD00625"/>
    <d v="2025-05-08T00:00:00"/>
    <x v="6"/>
    <x v="6"/>
    <x v="1"/>
    <x v="1"/>
    <x v="4"/>
    <n v="3"/>
    <n v="5000"/>
    <x v="121"/>
    <n v="12300"/>
    <n v="2700"/>
  </r>
  <r>
    <s v="ORD00626"/>
    <d v="2025-04-24T00:00:00"/>
    <x v="9"/>
    <x v="9"/>
    <x v="3"/>
    <x v="0"/>
    <x v="8"/>
    <n v="3"/>
    <n v="250"/>
    <x v="143"/>
    <n v="547.5"/>
    <n v="202.5"/>
  </r>
  <r>
    <s v="ORD00627"/>
    <d v="2025-07-16T00:00:00"/>
    <x v="11"/>
    <x v="5"/>
    <x v="0"/>
    <x v="1"/>
    <x v="11"/>
    <n v="15"/>
    <n v="12000"/>
    <x v="1"/>
    <n v="136800"/>
    <n v="43200"/>
  </r>
  <r>
    <s v="ORD00628"/>
    <d v="2025-03-26T00:00:00"/>
    <x v="10"/>
    <x v="5"/>
    <x v="0"/>
    <x v="0"/>
    <x v="3"/>
    <n v="1"/>
    <n v="150"/>
    <x v="40"/>
    <n v="117"/>
    <n v="33"/>
  </r>
  <r>
    <s v="ORD00629"/>
    <d v="2025-07-18T00:00:00"/>
    <x v="11"/>
    <x v="6"/>
    <x v="3"/>
    <x v="1"/>
    <x v="1"/>
    <n v="17"/>
    <n v="15000"/>
    <x v="62"/>
    <n v="198900"/>
    <n v="56100"/>
  </r>
  <r>
    <s v="ORD00630"/>
    <d v="2025-09-16T00:00:00"/>
    <x v="0"/>
    <x v="9"/>
    <x v="3"/>
    <x v="0"/>
    <x v="8"/>
    <n v="10"/>
    <n v="250"/>
    <x v="100"/>
    <n v="1900"/>
    <n v="600"/>
  </r>
  <r>
    <s v="ORD00631"/>
    <d v="2025-02-23T00:00:00"/>
    <x v="7"/>
    <x v="4"/>
    <x v="4"/>
    <x v="0"/>
    <x v="3"/>
    <n v="8"/>
    <n v="150"/>
    <x v="29"/>
    <n v="912"/>
    <n v="288"/>
  </r>
  <r>
    <s v="ORD00632"/>
    <d v="2025-03-03T00:00:00"/>
    <x v="10"/>
    <x v="8"/>
    <x v="4"/>
    <x v="2"/>
    <x v="10"/>
    <n v="13"/>
    <n v="2500"/>
    <x v="158"/>
    <n v="25675"/>
    <n v="6825"/>
  </r>
  <r>
    <s v="ORD00633"/>
    <d v="2025-12-02T00:00:00"/>
    <x v="1"/>
    <x v="2"/>
    <x v="0"/>
    <x v="2"/>
    <x v="15"/>
    <n v="10"/>
    <n v="85000"/>
    <x v="165"/>
    <n v="612000"/>
    <n v="238000"/>
  </r>
  <r>
    <s v="ORD00634"/>
    <d v="2025-04-07T00:00:00"/>
    <x v="9"/>
    <x v="2"/>
    <x v="1"/>
    <x v="0"/>
    <x v="13"/>
    <n v="17"/>
    <n v="1200"/>
    <x v="208"/>
    <n v="16728"/>
    <n v="3672"/>
  </r>
  <r>
    <s v="ORD00635"/>
    <d v="2025-11-24T00:00:00"/>
    <x v="3"/>
    <x v="2"/>
    <x v="4"/>
    <x v="0"/>
    <x v="0"/>
    <n v="4"/>
    <n v="300"/>
    <x v="29"/>
    <n v="840"/>
    <n v="360"/>
  </r>
  <r>
    <s v="ORD00636"/>
    <d v="2025-10-13T00:00:00"/>
    <x v="4"/>
    <x v="1"/>
    <x v="2"/>
    <x v="2"/>
    <x v="15"/>
    <n v="10"/>
    <n v="85000"/>
    <x v="165"/>
    <n v="603500"/>
    <n v="246500"/>
  </r>
  <r>
    <s v="ORD00637"/>
    <d v="2025-11-02T00:00:00"/>
    <x v="3"/>
    <x v="5"/>
    <x v="2"/>
    <x v="2"/>
    <x v="6"/>
    <n v="2"/>
    <n v="35000"/>
    <x v="148"/>
    <n v="57400"/>
    <n v="12600"/>
  </r>
  <r>
    <s v="ORD00638"/>
    <d v="2025-08-15T00:00:00"/>
    <x v="8"/>
    <x v="4"/>
    <x v="3"/>
    <x v="2"/>
    <x v="2"/>
    <n v="2"/>
    <n v="45000"/>
    <x v="5"/>
    <n v="64800"/>
    <n v="25200"/>
  </r>
  <r>
    <s v="ORD00639"/>
    <d v="2025-09-13T00:00:00"/>
    <x v="0"/>
    <x v="2"/>
    <x v="1"/>
    <x v="0"/>
    <x v="3"/>
    <n v="19"/>
    <n v="150"/>
    <x v="152"/>
    <n v="2308.5"/>
    <n v="541.5"/>
  </r>
  <r>
    <s v="ORD00640"/>
    <d v="2025-08-09T00:00:00"/>
    <x v="8"/>
    <x v="2"/>
    <x v="0"/>
    <x v="0"/>
    <x v="3"/>
    <n v="1"/>
    <n v="150"/>
    <x v="40"/>
    <n v="106.5"/>
    <n v="43.5"/>
  </r>
  <r>
    <s v="ORD00641"/>
    <d v="2025-01-28T00:00:00"/>
    <x v="2"/>
    <x v="6"/>
    <x v="1"/>
    <x v="2"/>
    <x v="14"/>
    <n v="12"/>
    <n v="28000"/>
    <x v="133"/>
    <n v="282240"/>
    <n v="53760"/>
  </r>
  <r>
    <s v="ORD00642"/>
    <d v="2025-04-07T00:00:00"/>
    <x v="9"/>
    <x v="4"/>
    <x v="0"/>
    <x v="1"/>
    <x v="7"/>
    <n v="1"/>
    <n v="18000"/>
    <x v="76"/>
    <n v="14940"/>
    <n v="3060"/>
  </r>
  <r>
    <s v="ORD00643"/>
    <d v="2025-01-23T00:00:00"/>
    <x v="2"/>
    <x v="9"/>
    <x v="2"/>
    <x v="1"/>
    <x v="1"/>
    <n v="3"/>
    <n v="15000"/>
    <x v="28"/>
    <n v="34200"/>
    <n v="10800"/>
  </r>
  <r>
    <s v="ORD00644"/>
    <d v="2025-10-26T00:00:00"/>
    <x v="4"/>
    <x v="9"/>
    <x v="2"/>
    <x v="2"/>
    <x v="6"/>
    <n v="13"/>
    <n v="35000"/>
    <x v="209"/>
    <n v="373100"/>
    <n v="81900"/>
  </r>
  <r>
    <s v="ORD00645"/>
    <d v="2025-09-25T00:00:00"/>
    <x v="0"/>
    <x v="2"/>
    <x v="4"/>
    <x v="2"/>
    <x v="2"/>
    <n v="13"/>
    <n v="45000"/>
    <x v="119"/>
    <n v="432900"/>
    <n v="152100"/>
  </r>
  <r>
    <s v="ORD00646"/>
    <d v="2025-04-22T00:00:00"/>
    <x v="9"/>
    <x v="2"/>
    <x v="2"/>
    <x v="2"/>
    <x v="16"/>
    <n v="3"/>
    <n v="1500"/>
    <x v="51"/>
    <n v="3780"/>
    <n v="720"/>
  </r>
  <r>
    <s v="ORD00647"/>
    <d v="2025-03-29T00:00:00"/>
    <x v="10"/>
    <x v="0"/>
    <x v="2"/>
    <x v="1"/>
    <x v="9"/>
    <n v="19"/>
    <n v="22000"/>
    <x v="86"/>
    <n v="305140"/>
    <n v="112860"/>
  </r>
  <r>
    <s v="ORD00648"/>
    <d v="2025-10-16T00:00:00"/>
    <x v="4"/>
    <x v="6"/>
    <x v="0"/>
    <x v="0"/>
    <x v="3"/>
    <n v="16"/>
    <n v="150"/>
    <x v="32"/>
    <n v="1992"/>
    <n v="408"/>
  </r>
  <r>
    <s v="ORD00649"/>
    <d v="2025-07-16T00:00:00"/>
    <x v="11"/>
    <x v="2"/>
    <x v="4"/>
    <x v="0"/>
    <x v="3"/>
    <n v="10"/>
    <n v="150"/>
    <x v="92"/>
    <n v="1260"/>
    <n v="240"/>
  </r>
  <r>
    <s v="ORD00650"/>
    <d v="2025-03-22T00:00:00"/>
    <x v="10"/>
    <x v="0"/>
    <x v="3"/>
    <x v="0"/>
    <x v="3"/>
    <n v="13"/>
    <n v="150"/>
    <x v="191"/>
    <n v="1521"/>
    <n v="429"/>
  </r>
  <r>
    <s v="ORD00651"/>
    <d v="2025-09-05T00:00:00"/>
    <x v="0"/>
    <x v="1"/>
    <x v="0"/>
    <x v="1"/>
    <x v="11"/>
    <n v="18"/>
    <n v="12000"/>
    <x v="146"/>
    <n v="181440"/>
    <n v="34560"/>
  </r>
  <r>
    <s v="ORD00652"/>
    <d v="2025-10-17T00:00:00"/>
    <x v="4"/>
    <x v="5"/>
    <x v="4"/>
    <x v="0"/>
    <x v="13"/>
    <n v="16"/>
    <n v="1200"/>
    <x v="114"/>
    <n v="15743.999999999998"/>
    <n v="3456.0000000000018"/>
  </r>
  <r>
    <s v="ORD00653"/>
    <d v="2025-01-01T00:00:00"/>
    <x v="2"/>
    <x v="1"/>
    <x v="4"/>
    <x v="1"/>
    <x v="9"/>
    <n v="17"/>
    <n v="22000"/>
    <x v="156"/>
    <n v="273020"/>
    <n v="100980"/>
  </r>
  <r>
    <s v="ORD00654"/>
    <d v="2025-06-14T00:00:00"/>
    <x v="5"/>
    <x v="6"/>
    <x v="0"/>
    <x v="0"/>
    <x v="0"/>
    <n v="8"/>
    <n v="300"/>
    <x v="32"/>
    <n v="1752"/>
    <n v="648"/>
  </r>
  <r>
    <s v="ORD00655"/>
    <d v="2025-03-04T00:00:00"/>
    <x v="10"/>
    <x v="1"/>
    <x v="0"/>
    <x v="2"/>
    <x v="6"/>
    <n v="15"/>
    <n v="35000"/>
    <x v="113"/>
    <n v="414750"/>
    <n v="110250"/>
  </r>
  <r>
    <s v="ORD00656"/>
    <d v="2025-11-14T00:00:00"/>
    <x v="3"/>
    <x v="9"/>
    <x v="0"/>
    <x v="2"/>
    <x v="2"/>
    <n v="16"/>
    <n v="45000"/>
    <x v="115"/>
    <n v="525600"/>
    <n v="194400"/>
  </r>
  <r>
    <s v="ORD00657"/>
    <d v="2025-05-17T00:00:00"/>
    <x v="6"/>
    <x v="5"/>
    <x v="2"/>
    <x v="1"/>
    <x v="9"/>
    <n v="5"/>
    <n v="22000"/>
    <x v="105"/>
    <n v="82500"/>
    <n v="27500"/>
  </r>
  <r>
    <s v="ORD00658"/>
    <d v="2025-10-23T00:00:00"/>
    <x v="4"/>
    <x v="5"/>
    <x v="3"/>
    <x v="1"/>
    <x v="1"/>
    <n v="11"/>
    <n v="15000"/>
    <x v="192"/>
    <n v="122100"/>
    <n v="42900"/>
  </r>
  <r>
    <s v="ORD00659"/>
    <d v="2025-12-22T00:00:00"/>
    <x v="1"/>
    <x v="6"/>
    <x v="1"/>
    <x v="2"/>
    <x v="2"/>
    <n v="9"/>
    <n v="45000"/>
    <x v="160"/>
    <n v="336150"/>
    <n v="68850"/>
  </r>
  <r>
    <s v="ORD00660"/>
    <d v="2025-08-31T00:00:00"/>
    <x v="8"/>
    <x v="5"/>
    <x v="0"/>
    <x v="2"/>
    <x v="5"/>
    <n v="13"/>
    <n v="25000"/>
    <x v="31"/>
    <n v="237250"/>
    <n v="87750"/>
  </r>
  <r>
    <s v="ORD00661"/>
    <d v="2025-10-16T00:00:00"/>
    <x v="4"/>
    <x v="8"/>
    <x v="3"/>
    <x v="2"/>
    <x v="15"/>
    <n v="12"/>
    <n v="85000"/>
    <x v="42"/>
    <n v="826200"/>
    <n v="193800"/>
  </r>
  <r>
    <s v="ORD00662"/>
    <d v="2025-04-18T00:00:00"/>
    <x v="9"/>
    <x v="7"/>
    <x v="2"/>
    <x v="2"/>
    <x v="10"/>
    <n v="6"/>
    <n v="2500"/>
    <x v="121"/>
    <n v="11550"/>
    <n v="3450"/>
  </r>
  <r>
    <s v="ORD00663"/>
    <d v="2025-12-31T00:00:00"/>
    <x v="1"/>
    <x v="9"/>
    <x v="3"/>
    <x v="2"/>
    <x v="14"/>
    <n v="6"/>
    <n v="28000"/>
    <x v="54"/>
    <n v="127680"/>
    <n v="40320"/>
  </r>
  <r>
    <s v="ORD00664"/>
    <d v="2025-08-10T00:00:00"/>
    <x v="8"/>
    <x v="2"/>
    <x v="1"/>
    <x v="0"/>
    <x v="0"/>
    <n v="17"/>
    <n v="300"/>
    <x v="89"/>
    <n v="3621"/>
    <n v="1479"/>
  </r>
  <r>
    <s v="ORD00665"/>
    <d v="2025-10-04T00:00:00"/>
    <x v="4"/>
    <x v="5"/>
    <x v="1"/>
    <x v="2"/>
    <x v="14"/>
    <n v="18"/>
    <n v="28000"/>
    <x v="52"/>
    <n v="423360"/>
    <n v="80640"/>
  </r>
  <r>
    <s v="ORD00666"/>
    <d v="2025-10-09T00:00:00"/>
    <x v="4"/>
    <x v="6"/>
    <x v="0"/>
    <x v="1"/>
    <x v="1"/>
    <n v="13"/>
    <n v="15000"/>
    <x v="170"/>
    <n v="150150"/>
    <n v="44850"/>
  </r>
  <r>
    <s v="ORD00667"/>
    <d v="2025-11-09T00:00:00"/>
    <x v="3"/>
    <x v="0"/>
    <x v="0"/>
    <x v="0"/>
    <x v="13"/>
    <n v="20"/>
    <n v="1200"/>
    <x v="19"/>
    <n v="19200"/>
    <n v="4800"/>
  </r>
  <r>
    <s v="ORD00668"/>
    <d v="2025-02-13T00:00:00"/>
    <x v="7"/>
    <x v="7"/>
    <x v="0"/>
    <x v="0"/>
    <x v="12"/>
    <n v="20"/>
    <n v="800"/>
    <x v="21"/>
    <n v="12640"/>
    <n v="3360"/>
  </r>
  <r>
    <s v="ORD00669"/>
    <d v="2025-10-08T00:00:00"/>
    <x v="4"/>
    <x v="3"/>
    <x v="3"/>
    <x v="0"/>
    <x v="12"/>
    <n v="2"/>
    <n v="800"/>
    <x v="111"/>
    <n v="1280"/>
    <n v="320"/>
  </r>
  <r>
    <s v="ORD00670"/>
    <d v="2025-07-24T00:00:00"/>
    <x v="11"/>
    <x v="5"/>
    <x v="0"/>
    <x v="0"/>
    <x v="0"/>
    <n v="18"/>
    <n v="300"/>
    <x v="35"/>
    <n v="3834"/>
    <n v="1566"/>
  </r>
  <r>
    <s v="ORD00671"/>
    <d v="2025-07-12T00:00:00"/>
    <x v="11"/>
    <x v="2"/>
    <x v="0"/>
    <x v="2"/>
    <x v="2"/>
    <n v="9"/>
    <n v="45000"/>
    <x v="160"/>
    <n v="319950"/>
    <n v="85050"/>
  </r>
  <r>
    <s v="ORD00672"/>
    <d v="2025-10-05T00:00:00"/>
    <x v="4"/>
    <x v="8"/>
    <x v="4"/>
    <x v="1"/>
    <x v="7"/>
    <n v="9"/>
    <n v="18000"/>
    <x v="79"/>
    <n v="134460"/>
    <n v="27540"/>
  </r>
  <r>
    <s v="ORD00673"/>
    <d v="2025-02-26T00:00:00"/>
    <x v="7"/>
    <x v="6"/>
    <x v="3"/>
    <x v="0"/>
    <x v="8"/>
    <n v="3"/>
    <n v="250"/>
    <x v="143"/>
    <n v="577.5"/>
    <n v="172.5"/>
  </r>
  <r>
    <s v="ORD00674"/>
    <d v="2025-12-01T00:00:00"/>
    <x v="1"/>
    <x v="0"/>
    <x v="2"/>
    <x v="1"/>
    <x v="9"/>
    <n v="17"/>
    <n v="22000"/>
    <x v="156"/>
    <n v="302940"/>
    <n v="71060"/>
  </r>
  <r>
    <s v="ORD00675"/>
    <d v="2025-01-13T00:00:00"/>
    <x v="2"/>
    <x v="6"/>
    <x v="0"/>
    <x v="1"/>
    <x v="1"/>
    <n v="2"/>
    <n v="15000"/>
    <x v="128"/>
    <n v="21300"/>
    <n v="8700"/>
  </r>
  <r>
    <s v="ORD00676"/>
    <d v="2025-10-22T00:00:00"/>
    <x v="4"/>
    <x v="3"/>
    <x v="0"/>
    <x v="0"/>
    <x v="0"/>
    <n v="11"/>
    <n v="300"/>
    <x v="99"/>
    <n v="2508"/>
    <n v="792"/>
  </r>
  <r>
    <s v="ORD00677"/>
    <d v="2025-01-10T00:00:00"/>
    <x v="2"/>
    <x v="6"/>
    <x v="0"/>
    <x v="2"/>
    <x v="14"/>
    <n v="18"/>
    <n v="28000"/>
    <x v="52"/>
    <n v="378000"/>
    <n v="126000"/>
  </r>
  <r>
    <s v="ORD00678"/>
    <d v="2025-11-23T00:00:00"/>
    <x v="3"/>
    <x v="7"/>
    <x v="1"/>
    <x v="0"/>
    <x v="8"/>
    <n v="14"/>
    <n v="250"/>
    <x v="142"/>
    <n v="2450"/>
    <n v="1050"/>
  </r>
  <r>
    <s v="ORD00679"/>
    <d v="2025-03-04T00:00:00"/>
    <x v="10"/>
    <x v="0"/>
    <x v="1"/>
    <x v="1"/>
    <x v="9"/>
    <n v="6"/>
    <n v="22000"/>
    <x v="173"/>
    <n v="105600"/>
    <n v="26400"/>
  </r>
  <r>
    <s v="ORD00680"/>
    <d v="2025-12-07T00:00:00"/>
    <x v="1"/>
    <x v="5"/>
    <x v="1"/>
    <x v="2"/>
    <x v="16"/>
    <n v="5"/>
    <n v="1500"/>
    <x v="61"/>
    <n v="5250"/>
    <n v="2250"/>
  </r>
  <r>
    <s v="ORD00681"/>
    <d v="2025-09-06T00:00:00"/>
    <x v="0"/>
    <x v="8"/>
    <x v="2"/>
    <x v="2"/>
    <x v="6"/>
    <n v="8"/>
    <n v="35000"/>
    <x v="9"/>
    <n v="224000"/>
    <n v="56000"/>
  </r>
  <r>
    <s v="ORD00682"/>
    <d v="2025-02-09T00:00:00"/>
    <x v="7"/>
    <x v="9"/>
    <x v="1"/>
    <x v="2"/>
    <x v="5"/>
    <n v="12"/>
    <n v="25000"/>
    <x v="64"/>
    <n v="252000"/>
    <n v="48000"/>
  </r>
  <r>
    <s v="ORD00683"/>
    <d v="2025-03-05T00:00:00"/>
    <x v="10"/>
    <x v="0"/>
    <x v="0"/>
    <x v="0"/>
    <x v="12"/>
    <n v="12"/>
    <n v="800"/>
    <x v="166"/>
    <n v="7776.0000000000009"/>
    <n v="1823.9999999999991"/>
  </r>
  <r>
    <s v="ORD00684"/>
    <d v="2025-07-14T00:00:00"/>
    <x v="11"/>
    <x v="9"/>
    <x v="1"/>
    <x v="1"/>
    <x v="11"/>
    <n v="17"/>
    <n v="12000"/>
    <x v="204"/>
    <n v="155040"/>
    <n v="48960"/>
  </r>
  <r>
    <s v="ORD00685"/>
    <d v="2025-05-05T00:00:00"/>
    <x v="6"/>
    <x v="1"/>
    <x v="3"/>
    <x v="2"/>
    <x v="10"/>
    <n v="3"/>
    <n v="2500"/>
    <x v="61"/>
    <n v="5625"/>
    <n v="1875"/>
  </r>
  <r>
    <s v="ORD00686"/>
    <d v="2025-09-21T00:00:00"/>
    <x v="0"/>
    <x v="3"/>
    <x v="3"/>
    <x v="2"/>
    <x v="2"/>
    <n v="18"/>
    <n v="45000"/>
    <x v="2"/>
    <n v="591300"/>
    <n v="218700"/>
  </r>
  <r>
    <s v="ORD00687"/>
    <d v="2025-01-29T00:00:00"/>
    <x v="2"/>
    <x v="5"/>
    <x v="1"/>
    <x v="1"/>
    <x v="1"/>
    <n v="17"/>
    <n v="15000"/>
    <x v="62"/>
    <n v="204000"/>
    <n v="51000"/>
  </r>
  <r>
    <s v="ORD00688"/>
    <d v="2025-07-25T00:00:00"/>
    <x v="11"/>
    <x v="5"/>
    <x v="2"/>
    <x v="0"/>
    <x v="3"/>
    <n v="18"/>
    <n v="150"/>
    <x v="7"/>
    <n v="2106"/>
    <n v="594"/>
  </r>
  <r>
    <s v="ORD00689"/>
    <d v="2025-09-26T00:00:00"/>
    <x v="0"/>
    <x v="6"/>
    <x v="1"/>
    <x v="0"/>
    <x v="13"/>
    <n v="9"/>
    <n v="1200"/>
    <x v="210"/>
    <n v="8100"/>
    <n v="2700"/>
  </r>
  <r>
    <s v="ORD00690"/>
    <d v="2025-03-21T00:00:00"/>
    <x v="10"/>
    <x v="6"/>
    <x v="0"/>
    <x v="0"/>
    <x v="8"/>
    <n v="7"/>
    <n v="250"/>
    <x v="17"/>
    <n v="1242.5"/>
    <n v="507.5"/>
  </r>
  <r>
    <s v="ORD00691"/>
    <d v="2025-09-07T00:00:00"/>
    <x v="0"/>
    <x v="9"/>
    <x v="1"/>
    <x v="0"/>
    <x v="8"/>
    <n v="17"/>
    <n v="250"/>
    <x v="178"/>
    <n v="3102.5"/>
    <n v="1147.5"/>
  </r>
  <r>
    <s v="ORD00692"/>
    <d v="2025-05-05T00:00:00"/>
    <x v="6"/>
    <x v="6"/>
    <x v="1"/>
    <x v="0"/>
    <x v="12"/>
    <n v="14"/>
    <n v="800"/>
    <x v="211"/>
    <n v="8512"/>
    <n v="2688"/>
  </r>
  <r>
    <s v="ORD00693"/>
    <d v="2025-08-17T00:00:00"/>
    <x v="8"/>
    <x v="4"/>
    <x v="2"/>
    <x v="2"/>
    <x v="16"/>
    <n v="13"/>
    <n v="1500"/>
    <x v="127"/>
    <n v="14430"/>
    <n v="5070"/>
  </r>
  <r>
    <s v="ORD00694"/>
    <d v="2025-10-31T00:00:00"/>
    <x v="4"/>
    <x v="6"/>
    <x v="3"/>
    <x v="1"/>
    <x v="4"/>
    <n v="6"/>
    <n v="5000"/>
    <x v="128"/>
    <n v="21300"/>
    <n v="8700"/>
  </r>
  <r>
    <s v="ORD00695"/>
    <d v="2025-01-02T00:00:00"/>
    <x v="2"/>
    <x v="5"/>
    <x v="1"/>
    <x v="1"/>
    <x v="4"/>
    <n v="4"/>
    <n v="5000"/>
    <x v="144"/>
    <n v="16800"/>
    <n v="3200"/>
  </r>
  <r>
    <s v="ORD00696"/>
    <d v="2025-04-25T00:00:00"/>
    <x v="9"/>
    <x v="0"/>
    <x v="2"/>
    <x v="0"/>
    <x v="12"/>
    <n v="12"/>
    <n v="800"/>
    <x v="166"/>
    <n v="7584"/>
    <n v="2016"/>
  </r>
  <r>
    <s v="ORD00697"/>
    <d v="2025-02-10T00:00:00"/>
    <x v="7"/>
    <x v="1"/>
    <x v="3"/>
    <x v="2"/>
    <x v="10"/>
    <n v="13"/>
    <n v="2500"/>
    <x v="158"/>
    <n v="27300"/>
    <n v="5200"/>
  </r>
  <r>
    <s v="ORD00698"/>
    <d v="2025-09-19T00:00:00"/>
    <x v="0"/>
    <x v="6"/>
    <x v="1"/>
    <x v="2"/>
    <x v="10"/>
    <n v="19"/>
    <n v="2500"/>
    <x v="83"/>
    <n v="39900"/>
    <n v="7600"/>
  </r>
  <r>
    <s v="ORD00699"/>
    <d v="2025-12-30T00:00:00"/>
    <x v="1"/>
    <x v="2"/>
    <x v="4"/>
    <x v="0"/>
    <x v="13"/>
    <n v="9"/>
    <n v="1200"/>
    <x v="210"/>
    <n v="8640"/>
    <n v="2160"/>
  </r>
  <r>
    <s v="ORD00700"/>
    <d v="2025-04-14T00:00:00"/>
    <x v="9"/>
    <x v="8"/>
    <x v="2"/>
    <x v="0"/>
    <x v="3"/>
    <n v="16"/>
    <n v="150"/>
    <x v="32"/>
    <n v="1967.9999999999998"/>
    <n v="432.00000000000023"/>
  </r>
  <r>
    <s v="ORD00701"/>
    <d v="2025-03-22T00:00:00"/>
    <x v="10"/>
    <x v="3"/>
    <x v="2"/>
    <x v="0"/>
    <x v="13"/>
    <n v="5"/>
    <n v="1200"/>
    <x v="141"/>
    <n v="4860"/>
    <n v="1140"/>
  </r>
  <r>
    <s v="ORD00702"/>
    <d v="2025-12-03T00:00:00"/>
    <x v="1"/>
    <x v="4"/>
    <x v="2"/>
    <x v="0"/>
    <x v="8"/>
    <n v="9"/>
    <n v="250"/>
    <x v="25"/>
    <n v="1777.5"/>
    <n v="472.5"/>
  </r>
  <r>
    <s v="ORD00703"/>
    <d v="2025-03-21T00:00:00"/>
    <x v="10"/>
    <x v="3"/>
    <x v="3"/>
    <x v="2"/>
    <x v="14"/>
    <n v="6"/>
    <n v="28000"/>
    <x v="54"/>
    <n v="127680"/>
    <n v="40320"/>
  </r>
  <r>
    <s v="ORD00704"/>
    <d v="2025-12-17T00:00:00"/>
    <x v="1"/>
    <x v="4"/>
    <x v="2"/>
    <x v="1"/>
    <x v="4"/>
    <n v="10"/>
    <n v="5000"/>
    <x v="11"/>
    <n v="40000"/>
    <n v="10000"/>
  </r>
  <r>
    <s v="ORD00705"/>
    <d v="2025-05-20T00:00:00"/>
    <x v="6"/>
    <x v="0"/>
    <x v="1"/>
    <x v="1"/>
    <x v="1"/>
    <n v="17"/>
    <n v="15000"/>
    <x v="62"/>
    <n v="198900"/>
    <n v="56100"/>
  </r>
  <r>
    <s v="ORD00706"/>
    <d v="2025-09-19T00:00:00"/>
    <x v="0"/>
    <x v="7"/>
    <x v="2"/>
    <x v="2"/>
    <x v="6"/>
    <n v="18"/>
    <n v="35000"/>
    <x v="193"/>
    <n v="504000"/>
    <n v="126000"/>
  </r>
  <r>
    <s v="ORD00707"/>
    <d v="2025-04-20T00:00:00"/>
    <x v="9"/>
    <x v="6"/>
    <x v="4"/>
    <x v="2"/>
    <x v="5"/>
    <n v="19"/>
    <n v="25000"/>
    <x v="43"/>
    <n v="361000"/>
    <n v="114000"/>
  </r>
  <r>
    <s v="ORD00708"/>
    <d v="2025-07-19T00:00:00"/>
    <x v="11"/>
    <x v="0"/>
    <x v="2"/>
    <x v="1"/>
    <x v="11"/>
    <n v="14"/>
    <n v="12000"/>
    <x v="54"/>
    <n v="120960"/>
    <n v="47040"/>
  </r>
  <r>
    <s v="ORD00709"/>
    <d v="2025-07-25T00:00:00"/>
    <x v="11"/>
    <x v="9"/>
    <x v="2"/>
    <x v="1"/>
    <x v="9"/>
    <n v="13"/>
    <n v="22000"/>
    <x v="108"/>
    <n v="223080"/>
    <n v="62920"/>
  </r>
  <r>
    <s v="ORD00710"/>
    <d v="2025-07-15T00:00:00"/>
    <x v="11"/>
    <x v="8"/>
    <x v="1"/>
    <x v="1"/>
    <x v="1"/>
    <n v="11"/>
    <n v="15000"/>
    <x v="192"/>
    <n v="133650"/>
    <n v="31350"/>
  </r>
  <r>
    <s v="ORD00711"/>
    <d v="2025-10-28T00:00:00"/>
    <x v="4"/>
    <x v="1"/>
    <x v="2"/>
    <x v="1"/>
    <x v="11"/>
    <n v="14"/>
    <n v="12000"/>
    <x v="54"/>
    <n v="120960"/>
    <n v="47040"/>
  </r>
  <r>
    <s v="ORD00712"/>
    <d v="2025-04-18T00:00:00"/>
    <x v="9"/>
    <x v="3"/>
    <x v="4"/>
    <x v="1"/>
    <x v="11"/>
    <n v="10"/>
    <n v="12000"/>
    <x v="155"/>
    <n v="97200"/>
    <n v="22800"/>
  </r>
  <r>
    <s v="ORD00713"/>
    <d v="2025-02-10T00:00:00"/>
    <x v="7"/>
    <x v="4"/>
    <x v="2"/>
    <x v="1"/>
    <x v="1"/>
    <n v="14"/>
    <n v="15000"/>
    <x v="60"/>
    <n v="172200"/>
    <n v="37800"/>
  </r>
  <r>
    <s v="ORD00714"/>
    <d v="2025-12-25T00:00:00"/>
    <x v="1"/>
    <x v="0"/>
    <x v="0"/>
    <x v="2"/>
    <x v="15"/>
    <n v="13"/>
    <n v="85000"/>
    <x v="194"/>
    <n v="939250"/>
    <n v="165750"/>
  </r>
  <r>
    <s v="ORD00715"/>
    <d v="2025-09-13T00:00:00"/>
    <x v="0"/>
    <x v="8"/>
    <x v="4"/>
    <x v="1"/>
    <x v="1"/>
    <n v="12"/>
    <n v="15000"/>
    <x v="1"/>
    <n v="147600"/>
    <n v="32400"/>
  </r>
  <r>
    <s v="ORD00716"/>
    <d v="2025-04-13T00:00:00"/>
    <x v="9"/>
    <x v="0"/>
    <x v="4"/>
    <x v="2"/>
    <x v="2"/>
    <n v="11"/>
    <n v="45000"/>
    <x v="87"/>
    <n v="415800"/>
    <n v="79200"/>
  </r>
  <r>
    <s v="ORD00717"/>
    <d v="2025-04-08T00:00:00"/>
    <x v="9"/>
    <x v="3"/>
    <x v="2"/>
    <x v="2"/>
    <x v="14"/>
    <n v="12"/>
    <n v="28000"/>
    <x v="133"/>
    <n v="268800"/>
    <n v="67200"/>
  </r>
  <r>
    <s v="ORD00718"/>
    <d v="2025-09-08T00:00:00"/>
    <x v="0"/>
    <x v="9"/>
    <x v="1"/>
    <x v="2"/>
    <x v="15"/>
    <n v="8"/>
    <n v="85000"/>
    <x v="136"/>
    <n v="578000"/>
    <n v="102000"/>
  </r>
  <r>
    <s v="ORD00719"/>
    <d v="2025-08-30T00:00:00"/>
    <x v="8"/>
    <x v="2"/>
    <x v="0"/>
    <x v="2"/>
    <x v="6"/>
    <n v="12"/>
    <n v="35000"/>
    <x v="30"/>
    <n v="306600"/>
    <n v="113400"/>
  </r>
  <r>
    <s v="ORD00720"/>
    <d v="2025-02-26T00:00:00"/>
    <x v="7"/>
    <x v="5"/>
    <x v="2"/>
    <x v="2"/>
    <x v="10"/>
    <n v="14"/>
    <n v="2500"/>
    <x v="18"/>
    <n v="24850"/>
    <n v="10150"/>
  </r>
  <r>
    <s v="ORD00721"/>
    <d v="2025-10-01T00:00:00"/>
    <x v="4"/>
    <x v="8"/>
    <x v="0"/>
    <x v="0"/>
    <x v="12"/>
    <n v="15"/>
    <n v="800"/>
    <x v="56"/>
    <n v="10080"/>
    <n v="1920"/>
  </r>
  <r>
    <s v="ORD00722"/>
    <d v="2025-12-07T00:00:00"/>
    <x v="1"/>
    <x v="2"/>
    <x v="2"/>
    <x v="0"/>
    <x v="8"/>
    <n v="5"/>
    <n v="250"/>
    <x v="212"/>
    <n v="912.5"/>
    <n v="337.5"/>
  </r>
  <r>
    <s v="ORD00723"/>
    <d v="2025-02-23T00:00:00"/>
    <x v="7"/>
    <x v="3"/>
    <x v="4"/>
    <x v="2"/>
    <x v="5"/>
    <n v="10"/>
    <n v="25000"/>
    <x v="122"/>
    <n v="180000"/>
    <n v="70000"/>
  </r>
  <r>
    <s v="ORD00724"/>
    <d v="2025-10-02T00:00:00"/>
    <x v="4"/>
    <x v="4"/>
    <x v="4"/>
    <x v="2"/>
    <x v="2"/>
    <n v="16"/>
    <n v="45000"/>
    <x v="115"/>
    <n v="561600"/>
    <n v="158400"/>
  </r>
  <r>
    <s v="ORD00725"/>
    <d v="2025-07-12T00:00:00"/>
    <x v="11"/>
    <x v="1"/>
    <x v="4"/>
    <x v="2"/>
    <x v="16"/>
    <n v="12"/>
    <n v="1500"/>
    <x v="76"/>
    <n v="12780"/>
    <n v="5220"/>
  </r>
  <r>
    <s v="ORD00726"/>
    <d v="2025-06-29T00:00:00"/>
    <x v="5"/>
    <x v="9"/>
    <x v="4"/>
    <x v="2"/>
    <x v="15"/>
    <n v="20"/>
    <n v="85000"/>
    <x v="97"/>
    <n v="1360000"/>
    <n v="340000"/>
  </r>
  <r>
    <s v="ORD00727"/>
    <d v="2025-03-25T00:00:00"/>
    <x v="10"/>
    <x v="0"/>
    <x v="2"/>
    <x v="1"/>
    <x v="9"/>
    <n v="19"/>
    <n v="22000"/>
    <x v="86"/>
    <n v="296780"/>
    <n v="121220"/>
  </r>
  <r>
    <s v="ORD00728"/>
    <d v="2025-11-18T00:00:00"/>
    <x v="3"/>
    <x v="0"/>
    <x v="1"/>
    <x v="1"/>
    <x v="4"/>
    <n v="11"/>
    <n v="5000"/>
    <x v="177"/>
    <n v="45100"/>
    <n v="9900"/>
  </r>
  <r>
    <s v="ORD00729"/>
    <d v="2025-02-16T00:00:00"/>
    <x v="7"/>
    <x v="8"/>
    <x v="1"/>
    <x v="2"/>
    <x v="16"/>
    <n v="3"/>
    <n v="1500"/>
    <x v="51"/>
    <n v="3690"/>
    <n v="810"/>
  </r>
  <r>
    <s v="ORD00730"/>
    <d v="2025-07-21T00:00:00"/>
    <x v="11"/>
    <x v="5"/>
    <x v="2"/>
    <x v="2"/>
    <x v="2"/>
    <n v="13"/>
    <n v="45000"/>
    <x v="119"/>
    <n v="485550"/>
    <n v="99450"/>
  </r>
  <r>
    <s v="ORD00731"/>
    <d v="2025-11-14T00:00:00"/>
    <x v="3"/>
    <x v="6"/>
    <x v="3"/>
    <x v="2"/>
    <x v="10"/>
    <n v="15"/>
    <n v="2500"/>
    <x v="117"/>
    <n v="27000"/>
    <n v="10500"/>
  </r>
  <r>
    <s v="ORD00732"/>
    <d v="2025-06-11T00:00:00"/>
    <x v="5"/>
    <x v="6"/>
    <x v="4"/>
    <x v="0"/>
    <x v="8"/>
    <n v="5"/>
    <n v="250"/>
    <x v="212"/>
    <n v="1025"/>
    <n v="225"/>
  </r>
  <r>
    <s v="ORD00733"/>
    <d v="2025-04-14T00:00:00"/>
    <x v="9"/>
    <x v="8"/>
    <x v="1"/>
    <x v="2"/>
    <x v="16"/>
    <n v="9"/>
    <n v="1500"/>
    <x v="187"/>
    <n v="10395"/>
    <n v="3105"/>
  </r>
  <r>
    <s v="ORD00734"/>
    <d v="2025-02-24T00:00:00"/>
    <x v="7"/>
    <x v="6"/>
    <x v="3"/>
    <x v="2"/>
    <x v="6"/>
    <n v="18"/>
    <n v="35000"/>
    <x v="193"/>
    <n v="529200"/>
    <n v="100800"/>
  </r>
  <r>
    <s v="ORD00735"/>
    <d v="2025-04-01T00:00:00"/>
    <x v="9"/>
    <x v="4"/>
    <x v="2"/>
    <x v="2"/>
    <x v="16"/>
    <n v="16"/>
    <n v="1500"/>
    <x v="19"/>
    <n v="18960"/>
    <n v="5040"/>
  </r>
  <r>
    <s v="ORD00736"/>
    <d v="2025-12-11T00:00:00"/>
    <x v="1"/>
    <x v="6"/>
    <x v="4"/>
    <x v="1"/>
    <x v="11"/>
    <n v="5"/>
    <n v="12000"/>
    <x v="84"/>
    <n v="45000"/>
    <n v="15000"/>
  </r>
  <r>
    <s v="ORD00737"/>
    <d v="2025-06-26T00:00:00"/>
    <x v="5"/>
    <x v="6"/>
    <x v="1"/>
    <x v="1"/>
    <x v="7"/>
    <n v="17"/>
    <n v="18000"/>
    <x v="65"/>
    <n v="229500"/>
    <n v="76500"/>
  </r>
  <r>
    <s v="ORD00738"/>
    <d v="2025-10-09T00:00:00"/>
    <x v="4"/>
    <x v="4"/>
    <x v="1"/>
    <x v="1"/>
    <x v="1"/>
    <n v="5"/>
    <n v="15000"/>
    <x v="46"/>
    <n v="52500"/>
    <n v="22500"/>
  </r>
  <r>
    <s v="ORD00739"/>
    <d v="2025-05-18T00:00:00"/>
    <x v="6"/>
    <x v="0"/>
    <x v="2"/>
    <x v="0"/>
    <x v="12"/>
    <n v="5"/>
    <n v="800"/>
    <x v="103"/>
    <n v="2840"/>
    <n v="1160"/>
  </r>
  <r>
    <s v="ORD00740"/>
    <d v="2025-07-04T00:00:00"/>
    <x v="11"/>
    <x v="0"/>
    <x v="2"/>
    <x v="0"/>
    <x v="3"/>
    <n v="5"/>
    <n v="150"/>
    <x v="143"/>
    <n v="570"/>
    <n v="180"/>
  </r>
  <r>
    <s v="ORD00741"/>
    <d v="2025-01-19T00:00:00"/>
    <x v="2"/>
    <x v="7"/>
    <x v="1"/>
    <x v="2"/>
    <x v="14"/>
    <n v="3"/>
    <n v="28000"/>
    <x v="101"/>
    <n v="70560"/>
    <n v="13440"/>
  </r>
  <r>
    <s v="ORD00742"/>
    <d v="2025-10-12T00:00:00"/>
    <x v="4"/>
    <x v="7"/>
    <x v="4"/>
    <x v="0"/>
    <x v="8"/>
    <n v="7"/>
    <n v="250"/>
    <x v="17"/>
    <n v="1347.5"/>
    <n v="402.5"/>
  </r>
  <r>
    <s v="ORD00743"/>
    <d v="2025-11-11T00:00:00"/>
    <x v="3"/>
    <x v="1"/>
    <x v="0"/>
    <x v="1"/>
    <x v="11"/>
    <n v="3"/>
    <n v="12000"/>
    <x v="45"/>
    <n v="28440"/>
    <n v="7560"/>
  </r>
  <r>
    <s v="ORD00744"/>
    <d v="2025-08-30T00:00:00"/>
    <x v="8"/>
    <x v="1"/>
    <x v="1"/>
    <x v="0"/>
    <x v="8"/>
    <n v="20"/>
    <n v="250"/>
    <x v="162"/>
    <n v="4000"/>
    <n v="1000"/>
  </r>
  <r>
    <s v="ORD00745"/>
    <d v="2025-11-17T00:00:00"/>
    <x v="3"/>
    <x v="8"/>
    <x v="1"/>
    <x v="1"/>
    <x v="9"/>
    <n v="17"/>
    <n v="22000"/>
    <x v="156"/>
    <n v="261799.99999999997"/>
    <n v="112200.00000000003"/>
  </r>
  <r>
    <s v="ORD00746"/>
    <d v="2025-06-01T00:00:00"/>
    <x v="5"/>
    <x v="8"/>
    <x v="1"/>
    <x v="2"/>
    <x v="2"/>
    <n v="20"/>
    <n v="45000"/>
    <x v="213"/>
    <n v="720000"/>
    <n v="180000"/>
  </r>
  <r>
    <s v="ORD00747"/>
    <d v="2025-08-27T00:00:00"/>
    <x v="8"/>
    <x v="9"/>
    <x v="4"/>
    <x v="1"/>
    <x v="4"/>
    <n v="11"/>
    <n v="5000"/>
    <x v="177"/>
    <n v="46200"/>
    <n v="8800"/>
  </r>
  <r>
    <s v="ORD00748"/>
    <d v="2025-05-14T00:00:00"/>
    <x v="6"/>
    <x v="5"/>
    <x v="3"/>
    <x v="1"/>
    <x v="9"/>
    <n v="6"/>
    <n v="22000"/>
    <x v="173"/>
    <n v="108240"/>
    <n v="23760"/>
  </r>
  <r>
    <s v="ORD00749"/>
    <d v="2025-02-06T00:00:00"/>
    <x v="7"/>
    <x v="4"/>
    <x v="1"/>
    <x v="2"/>
    <x v="15"/>
    <n v="1"/>
    <n v="85000"/>
    <x v="118"/>
    <n v="59499.999999999993"/>
    <n v="25500.000000000007"/>
  </r>
  <r>
    <s v="ORD00750"/>
    <d v="2025-04-18T00:00:00"/>
    <x v="9"/>
    <x v="2"/>
    <x v="4"/>
    <x v="2"/>
    <x v="6"/>
    <n v="18"/>
    <n v="35000"/>
    <x v="193"/>
    <n v="441000"/>
    <n v="189000"/>
  </r>
  <r>
    <s v="ORD00751"/>
    <d v="2025-11-12T00:00:00"/>
    <x v="3"/>
    <x v="8"/>
    <x v="3"/>
    <x v="2"/>
    <x v="14"/>
    <n v="18"/>
    <n v="28000"/>
    <x v="52"/>
    <n v="413280"/>
    <n v="90720"/>
  </r>
  <r>
    <s v="ORD00752"/>
    <d v="2025-04-26T00:00:00"/>
    <x v="9"/>
    <x v="1"/>
    <x v="0"/>
    <x v="0"/>
    <x v="0"/>
    <n v="20"/>
    <n v="300"/>
    <x v="141"/>
    <n v="4320"/>
    <n v="1680"/>
  </r>
  <r>
    <s v="ORD00753"/>
    <d v="2025-10-07T00:00:00"/>
    <x v="4"/>
    <x v="5"/>
    <x v="2"/>
    <x v="0"/>
    <x v="0"/>
    <n v="19"/>
    <n v="300"/>
    <x v="36"/>
    <n v="4389"/>
    <n v="1311"/>
  </r>
  <r>
    <s v="ORD00754"/>
    <d v="2025-06-04T00:00:00"/>
    <x v="5"/>
    <x v="6"/>
    <x v="1"/>
    <x v="2"/>
    <x v="6"/>
    <n v="16"/>
    <n v="35000"/>
    <x v="214"/>
    <n v="470400"/>
    <n v="89600"/>
  </r>
  <r>
    <s v="ORD00755"/>
    <d v="2025-05-02T00:00:00"/>
    <x v="6"/>
    <x v="9"/>
    <x v="4"/>
    <x v="0"/>
    <x v="8"/>
    <n v="7"/>
    <n v="250"/>
    <x v="17"/>
    <n v="1470"/>
    <n v="280"/>
  </r>
  <r>
    <s v="ORD00756"/>
    <d v="2025-06-22T00:00:00"/>
    <x v="5"/>
    <x v="6"/>
    <x v="0"/>
    <x v="0"/>
    <x v="0"/>
    <n v="18"/>
    <n v="300"/>
    <x v="35"/>
    <n v="4104"/>
    <n v="1296"/>
  </r>
  <r>
    <s v="ORD00757"/>
    <d v="2025-12-09T00:00:00"/>
    <x v="1"/>
    <x v="1"/>
    <x v="4"/>
    <x v="2"/>
    <x v="16"/>
    <n v="17"/>
    <n v="1500"/>
    <x v="207"/>
    <n v="18360"/>
    <n v="7140"/>
  </r>
  <r>
    <s v="ORD00758"/>
    <d v="2025-06-12T00:00:00"/>
    <x v="5"/>
    <x v="8"/>
    <x v="2"/>
    <x v="0"/>
    <x v="0"/>
    <n v="11"/>
    <n v="300"/>
    <x v="99"/>
    <n v="2343"/>
    <n v="957"/>
  </r>
  <r>
    <s v="ORD00759"/>
    <d v="2025-02-18T00:00:00"/>
    <x v="7"/>
    <x v="8"/>
    <x v="0"/>
    <x v="1"/>
    <x v="11"/>
    <n v="9"/>
    <n v="12000"/>
    <x v="75"/>
    <n v="76680"/>
    <n v="31320"/>
  </r>
  <r>
    <s v="ORD00760"/>
    <d v="2025-10-08T00:00:00"/>
    <x v="4"/>
    <x v="9"/>
    <x v="2"/>
    <x v="2"/>
    <x v="16"/>
    <n v="6"/>
    <n v="1500"/>
    <x v="197"/>
    <n v="6390"/>
    <n v="2610"/>
  </r>
  <r>
    <s v="ORD00761"/>
    <d v="2025-04-15T00:00:00"/>
    <x v="9"/>
    <x v="7"/>
    <x v="0"/>
    <x v="2"/>
    <x v="5"/>
    <n v="6"/>
    <n v="25000"/>
    <x v="38"/>
    <n v="124500"/>
    <n v="25500"/>
  </r>
  <r>
    <s v="ORD00762"/>
    <d v="2025-06-21T00:00:00"/>
    <x v="5"/>
    <x v="8"/>
    <x v="4"/>
    <x v="1"/>
    <x v="1"/>
    <n v="18"/>
    <n v="15000"/>
    <x v="48"/>
    <n v="207900"/>
    <n v="62100"/>
  </r>
  <r>
    <s v="ORD00763"/>
    <d v="2025-12-18T00:00:00"/>
    <x v="1"/>
    <x v="7"/>
    <x v="3"/>
    <x v="2"/>
    <x v="14"/>
    <n v="13"/>
    <n v="28000"/>
    <x v="57"/>
    <n v="309400"/>
    <n v="54600"/>
  </r>
  <r>
    <s v="ORD00764"/>
    <d v="2025-07-10T00:00:00"/>
    <x v="11"/>
    <x v="8"/>
    <x v="1"/>
    <x v="1"/>
    <x v="7"/>
    <n v="13"/>
    <n v="18000"/>
    <x v="90"/>
    <n v="187200"/>
    <n v="46800"/>
  </r>
  <r>
    <s v="ORD00765"/>
    <d v="2025-07-04T00:00:00"/>
    <x v="11"/>
    <x v="5"/>
    <x v="4"/>
    <x v="2"/>
    <x v="15"/>
    <n v="6"/>
    <n v="85000"/>
    <x v="184"/>
    <n v="382500"/>
    <n v="127500"/>
  </r>
  <r>
    <s v="ORD00766"/>
    <d v="2025-07-06T00:00:00"/>
    <x v="11"/>
    <x v="6"/>
    <x v="2"/>
    <x v="2"/>
    <x v="2"/>
    <n v="7"/>
    <n v="45000"/>
    <x v="154"/>
    <n v="233100"/>
    <n v="81900"/>
  </r>
  <r>
    <s v="ORD00767"/>
    <d v="2025-09-08T00:00:00"/>
    <x v="0"/>
    <x v="4"/>
    <x v="1"/>
    <x v="1"/>
    <x v="4"/>
    <n v="3"/>
    <n v="5000"/>
    <x v="121"/>
    <n v="12000"/>
    <n v="3000"/>
  </r>
  <r>
    <s v="ORD00768"/>
    <d v="2025-12-08T00:00:00"/>
    <x v="1"/>
    <x v="1"/>
    <x v="4"/>
    <x v="0"/>
    <x v="12"/>
    <n v="18"/>
    <n v="800"/>
    <x v="134"/>
    <n v="12096"/>
    <n v="2304"/>
  </r>
  <r>
    <s v="ORD00769"/>
    <d v="2025-09-01T00:00:00"/>
    <x v="0"/>
    <x v="6"/>
    <x v="2"/>
    <x v="2"/>
    <x v="16"/>
    <n v="5"/>
    <n v="1500"/>
    <x v="61"/>
    <n v="5625"/>
    <n v="1875"/>
  </r>
  <r>
    <s v="ORD00770"/>
    <d v="2025-01-16T00:00:00"/>
    <x v="2"/>
    <x v="1"/>
    <x v="0"/>
    <x v="1"/>
    <x v="7"/>
    <n v="9"/>
    <n v="18000"/>
    <x v="79"/>
    <n v="131220"/>
    <n v="30780"/>
  </r>
  <r>
    <s v="ORD00771"/>
    <d v="2025-06-30T00:00:00"/>
    <x v="5"/>
    <x v="4"/>
    <x v="0"/>
    <x v="2"/>
    <x v="15"/>
    <n v="4"/>
    <n v="85000"/>
    <x v="102"/>
    <n v="258400"/>
    <n v="81600"/>
  </r>
  <r>
    <s v="ORD00772"/>
    <d v="2025-12-16T00:00:00"/>
    <x v="1"/>
    <x v="5"/>
    <x v="0"/>
    <x v="2"/>
    <x v="10"/>
    <n v="11"/>
    <n v="2500"/>
    <x v="215"/>
    <n v="20075"/>
    <n v="7425"/>
  </r>
  <r>
    <s v="ORD00773"/>
    <d v="2025-12-26T00:00:00"/>
    <x v="1"/>
    <x v="5"/>
    <x v="1"/>
    <x v="2"/>
    <x v="14"/>
    <n v="15"/>
    <n v="28000"/>
    <x v="30"/>
    <n v="306600"/>
    <n v="113400"/>
  </r>
  <r>
    <s v="ORD00774"/>
    <d v="2025-11-06T00:00:00"/>
    <x v="3"/>
    <x v="7"/>
    <x v="3"/>
    <x v="2"/>
    <x v="16"/>
    <n v="8"/>
    <n v="1500"/>
    <x v="56"/>
    <n v="10080"/>
    <n v="1920"/>
  </r>
  <r>
    <s v="ORD00775"/>
    <d v="2025-08-24T00:00:00"/>
    <x v="8"/>
    <x v="3"/>
    <x v="2"/>
    <x v="2"/>
    <x v="5"/>
    <n v="17"/>
    <n v="25000"/>
    <x v="6"/>
    <n v="331500"/>
    <n v="93500"/>
  </r>
  <r>
    <s v="ORD00776"/>
    <d v="2025-09-03T00:00:00"/>
    <x v="0"/>
    <x v="0"/>
    <x v="4"/>
    <x v="0"/>
    <x v="13"/>
    <n v="7"/>
    <n v="1200"/>
    <x v="125"/>
    <n v="6888"/>
    <n v="1512"/>
  </r>
  <r>
    <s v="ORD00777"/>
    <d v="2025-11-05T00:00:00"/>
    <x v="3"/>
    <x v="9"/>
    <x v="1"/>
    <x v="2"/>
    <x v="6"/>
    <n v="3"/>
    <n v="35000"/>
    <x v="153"/>
    <n v="89250"/>
    <n v="15750"/>
  </r>
  <r>
    <s v="ORD00778"/>
    <d v="2025-09-23T00:00:00"/>
    <x v="0"/>
    <x v="4"/>
    <x v="4"/>
    <x v="0"/>
    <x v="8"/>
    <n v="11"/>
    <n v="250"/>
    <x v="172"/>
    <n v="2200"/>
    <n v="550"/>
  </r>
  <r>
    <s v="ORD00779"/>
    <d v="2025-08-02T00:00:00"/>
    <x v="8"/>
    <x v="4"/>
    <x v="2"/>
    <x v="1"/>
    <x v="9"/>
    <n v="7"/>
    <n v="22000"/>
    <x v="182"/>
    <n v="113960"/>
    <n v="40040"/>
  </r>
  <r>
    <s v="ORD00780"/>
    <d v="2025-11-25T00:00:00"/>
    <x v="3"/>
    <x v="6"/>
    <x v="1"/>
    <x v="2"/>
    <x v="6"/>
    <n v="8"/>
    <n v="35000"/>
    <x v="9"/>
    <n v="221200"/>
    <n v="58800"/>
  </r>
  <r>
    <s v="ORD00781"/>
    <d v="2025-04-06T00:00:00"/>
    <x v="9"/>
    <x v="3"/>
    <x v="0"/>
    <x v="0"/>
    <x v="12"/>
    <n v="13"/>
    <n v="800"/>
    <x v="72"/>
    <n v="8112"/>
    <n v="2288"/>
  </r>
  <r>
    <s v="ORD00782"/>
    <d v="2025-11-03T00:00:00"/>
    <x v="3"/>
    <x v="9"/>
    <x v="0"/>
    <x v="0"/>
    <x v="0"/>
    <n v="17"/>
    <n v="300"/>
    <x v="89"/>
    <n v="4080"/>
    <n v="1020"/>
  </r>
  <r>
    <s v="ORD00783"/>
    <d v="2025-09-01T00:00:00"/>
    <x v="0"/>
    <x v="2"/>
    <x v="1"/>
    <x v="2"/>
    <x v="2"/>
    <n v="20"/>
    <n v="45000"/>
    <x v="213"/>
    <n v="738000"/>
    <n v="162000"/>
  </r>
  <r>
    <s v="ORD00784"/>
    <d v="2025-02-04T00:00:00"/>
    <x v="7"/>
    <x v="1"/>
    <x v="2"/>
    <x v="1"/>
    <x v="11"/>
    <n v="9"/>
    <n v="12000"/>
    <x v="75"/>
    <n v="84240"/>
    <n v="23760"/>
  </r>
  <r>
    <s v="ORD00785"/>
    <d v="2025-09-12T00:00:00"/>
    <x v="0"/>
    <x v="7"/>
    <x v="4"/>
    <x v="1"/>
    <x v="7"/>
    <n v="17"/>
    <n v="18000"/>
    <x v="65"/>
    <n v="235620"/>
    <n v="70380"/>
  </r>
  <r>
    <s v="ORD00786"/>
    <d v="2025-03-10T00:00:00"/>
    <x v="10"/>
    <x v="9"/>
    <x v="0"/>
    <x v="0"/>
    <x v="12"/>
    <n v="17"/>
    <n v="800"/>
    <x v="41"/>
    <n v="11288"/>
    <n v="2312"/>
  </r>
  <r>
    <s v="ORD00787"/>
    <d v="2025-02-20T00:00:00"/>
    <x v="7"/>
    <x v="6"/>
    <x v="4"/>
    <x v="0"/>
    <x v="12"/>
    <n v="12"/>
    <n v="800"/>
    <x v="166"/>
    <n v="7392"/>
    <n v="2208"/>
  </r>
  <r>
    <s v="ORD00788"/>
    <d v="2025-03-28T00:00:00"/>
    <x v="10"/>
    <x v="6"/>
    <x v="1"/>
    <x v="2"/>
    <x v="6"/>
    <n v="3"/>
    <n v="35000"/>
    <x v="153"/>
    <n v="87150"/>
    <n v="17850"/>
  </r>
  <r>
    <s v="ORD00789"/>
    <d v="2025-04-19T00:00:00"/>
    <x v="9"/>
    <x v="9"/>
    <x v="3"/>
    <x v="2"/>
    <x v="6"/>
    <n v="16"/>
    <n v="35000"/>
    <x v="214"/>
    <n v="431200"/>
    <n v="128800"/>
  </r>
  <r>
    <s v="ORD00790"/>
    <d v="2025-09-20T00:00:00"/>
    <x v="0"/>
    <x v="0"/>
    <x v="4"/>
    <x v="1"/>
    <x v="9"/>
    <n v="17"/>
    <n v="22000"/>
    <x v="156"/>
    <n v="291720"/>
    <n v="82280"/>
  </r>
  <r>
    <s v="ORD00791"/>
    <d v="2025-08-08T00:00:00"/>
    <x v="8"/>
    <x v="8"/>
    <x v="1"/>
    <x v="1"/>
    <x v="4"/>
    <n v="8"/>
    <n v="5000"/>
    <x v="82"/>
    <n v="33600"/>
    <n v="6400"/>
  </r>
  <r>
    <s v="ORD00792"/>
    <d v="2025-08-22T00:00:00"/>
    <x v="8"/>
    <x v="7"/>
    <x v="4"/>
    <x v="0"/>
    <x v="12"/>
    <n v="14"/>
    <n v="800"/>
    <x v="211"/>
    <n v="8064"/>
    <n v="3136"/>
  </r>
  <r>
    <s v="ORD00793"/>
    <d v="2025-01-16T00:00:00"/>
    <x v="2"/>
    <x v="3"/>
    <x v="1"/>
    <x v="2"/>
    <x v="6"/>
    <n v="1"/>
    <n v="35000"/>
    <x v="18"/>
    <n v="28700"/>
    <n v="6300"/>
  </r>
  <r>
    <s v="ORD00794"/>
    <d v="2025-04-04T00:00:00"/>
    <x v="9"/>
    <x v="0"/>
    <x v="1"/>
    <x v="0"/>
    <x v="13"/>
    <n v="20"/>
    <n v="1200"/>
    <x v="19"/>
    <n v="19920"/>
    <n v="4080"/>
  </r>
  <r>
    <s v="ORD00795"/>
    <d v="2025-02-04T00:00:00"/>
    <x v="7"/>
    <x v="7"/>
    <x v="3"/>
    <x v="1"/>
    <x v="11"/>
    <n v="2"/>
    <n v="12000"/>
    <x v="19"/>
    <n v="18720"/>
    <n v="5280"/>
  </r>
  <r>
    <s v="ORD00796"/>
    <d v="2025-09-30T00:00:00"/>
    <x v="0"/>
    <x v="5"/>
    <x v="1"/>
    <x v="0"/>
    <x v="0"/>
    <n v="6"/>
    <n v="300"/>
    <x v="81"/>
    <n v="1278"/>
    <n v="522"/>
  </r>
  <r>
    <s v="ORD00797"/>
    <d v="2025-05-31T00:00:00"/>
    <x v="6"/>
    <x v="0"/>
    <x v="2"/>
    <x v="2"/>
    <x v="2"/>
    <n v="6"/>
    <n v="45000"/>
    <x v="48"/>
    <n v="224100"/>
    <n v="45900"/>
  </r>
  <r>
    <s v="ORD00798"/>
    <d v="2025-03-28T00:00:00"/>
    <x v="10"/>
    <x v="4"/>
    <x v="1"/>
    <x v="2"/>
    <x v="5"/>
    <n v="8"/>
    <n v="25000"/>
    <x v="96"/>
    <n v="152000"/>
    <n v="48000"/>
  </r>
  <r>
    <s v="ORD00799"/>
    <d v="2025-11-28T00:00:00"/>
    <x v="3"/>
    <x v="4"/>
    <x v="0"/>
    <x v="1"/>
    <x v="9"/>
    <n v="16"/>
    <n v="22000"/>
    <x v="24"/>
    <n v="246399.99999999997"/>
    <n v="105600.00000000003"/>
  </r>
  <r>
    <s v="ORD00800"/>
    <d v="2025-04-03T00:00:00"/>
    <x v="9"/>
    <x v="0"/>
    <x v="0"/>
    <x v="1"/>
    <x v="9"/>
    <n v="17"/>
    <n v="22000"/>
    <x v="156"/>
    <n v="299200"/>
    <n v="74800"/>
  </r>
  <r>
    <s v="ORD00801"/>
    <d v="2025-08-15T00:00:00"/>
    <x v="8"/>
    <x v="7"/>
    <x v="2"/>
    <x v="2"/>
    <x v="10"/>
    <n v="6"/>
    <n v="2500"/>
    <x v="121"/>
    <n v="10950"/>
    <n v="4050"/>
  </r>
  <r>
    <s v="ORD00802"/>
    <d v="2025-04-09T00:00:00"/>
    <x v="9"/>
    <x v="6"/>
    <x v="0"/>
    <x v="0"/>
    <x v="3"/>
    <n v="6"/>
    <n v="150"/>
    <x v="164"/>
    <n v="675"/>
    <n v="225"/>
  </r>
  <r>
    <s v="ORD00803"/>
    <d v="2025-12-25T00:00:00"/>
    <x v="1"/>
    <x v="5"/>
    <x v="2"/>
    <x v="0"/>
    <x v="3"/>
    <n v="14"/>
    <n v="150"/>
    <x v="16"/>
    <n v="1722"/>
    <n v="378"/>
  </r>
  <r>
    <s v="ORD00804"/>
    <d v="2025-10-09T00:00:00"/>
    <x v="4"/>
    <x v="9"/>
    <x v="0"/>
    <x v="2"/>
    <x v="2"/>
    <n v="14"/>
    <n v="45000"/>
    <x v="193"/>
    <n v="472500"/>
    <n v="157500"/>
  </r>
  <r>
    <s v="ORD00805"/>
    <d v="2025-01-04T00:00:00"/>
    <x v="2"/>
    <x v="3"/>
    <x v="3"/>
    <x v="2"/>
    <x v="6"/>
    <n v="16"/>
    <n v="35000"/>
    <x v="214"/>
    <n v="408800"/>
    <n v="151200"/>
  </r>
  <r>
    <s v="ORD00806"/>
    <d v="2025-09-07T00:00:00"/>
    <x v="0"/>
    <x v="4"/>
    <x v="2"/>
    <x v="1"/>
    <x v="4"/>
    <n v="5"/>
    <n v="5000"/>
    <x v="190"/>
    <n v="17750"/>
    <n v="7250"/>
  </r>
  <r>
    <s v="ORD00807"/>
    <d v="2025-03-31T00:00:00"/>
    <x v="10"/>
    <x v="4"/>
    <x v="2"/>
    <x v="0"/>
    <x v="13"/>
    <n v="4"/>
    <n v="1200"/>
    <x v="50"/>
    <n v="3888.0000000000005"/>
    <n v="911.99999999999955"/>
  </r>
  <r>
    <s v="ORD00808"/>
    <d v="2025-09-29T00:00:00"/>
    <x v="0"/>
    <x v="7"/>
    <x v="2"/>
    <x v="1"/>
    <x v="4"/>
    <n v="18"/>
    <n v="5000"/>
    <x v="5"/>
    <n v="71100"/>
    <n v="18900"/>
  </r>
  <r>
    <s v="ORD00809"/>
    <d v="2025-09-12T00:00:00"/>
    <x v="0"/>
    <x v="0"/>
    <x v="0"/>
    <x v="0"/>
    <x v="8"/>
    <n v="18"/>
    <n v="250"/>
    <x v="51"/>
    <n v="3195"/>
    <n v="1305"/>
  </r>
  <r>
    <s v="ORD00810"/>
    <d v="2025-07-06T00:00:00"/>
    <x v="11"/>
    <x v="0"/>
    <x v="3"/>
    <x v="1"/>
    <x v="4"/>
    <n v="11"/>
    <n v="5000"/>
    <x v="177"/>
    <n v="43450"/>
    <n v="11550"/>
  </r>
  <r>
    <s v="ORD00811"/>
    <d v="2025-03-07T00:00:00"/>
    <x v="10"/>
    <x v="6"/>
    <x v="1"/>
    <x v="0"/>
    <x v="8"/>
    <n v="14"/>
    <n v="250"/>
    <x v="142"/>
    <n v="2590"/>
    <n v="910"/>
  </r>
  <r>
    <s v="ORD00812"/>
    <d v="2025-05-04T00:00:00"/>
    <x v="6"/>
    <x v="2"/>
    <x v="0"/>
    <x v="0"/>
    <x v="8"/>
    <n v="15"/>
    <n v="250"/>
    <x v="106"/>
    <n v="3075"/>
    <n v="675"/>
  </r>
  <r>
    <s v="ORD00813"/>
    <d v="2025-09-23T00:00:00"/>
    <x v="0"/>
    <x v="3"/>
    <x v="2"/>
    <x v="0"/>
    <x v="8"/>
    <n v="17"/>
    <n v="250"/>
    <x v="178"/>
    <n v="3017.5"/>
    <n v="1232.5"/>
  </r>
  <r>
    <s v="ORD00814"/>
    <d v="2025-10-14T00:00:00"/>
    <x v="4"/>
    <x v="3"/>
    <x v="4"/>
    <x v="1"/>
    <x v="9"/>
    <n v="14"/>
    <n v="22000"/>
    <x v="37"/>
    <n v="231000"/>
    <n v="77000"/>
  </r>
  <r>
    <s v="ORD00815"/>
    <d v="2025-04-24T00:00:00"/>
    <x v="9"/>
    <x v="6"/>
    <x v="4"/>
    <x v="0"/>
    <x v="12"/>
    <n v="4"/>
    <n v="800"/>
    <x v="58"/>
    <n v="2464"/>
    <n v="736"/>
  </r>
  <r>
    <s v="ORD00816"/>
    <d v="2025-11-20T00:00:00"/>
    <x v="3"/>
    <x v="1"/>
    <x v="1"/>
    <x v="2"/>
    <x v="5"/>
    <n v="4"/>
    <n v="25000"/>
    <x v="8"/>
    <n v="76000"/>
    <n v="24000"/>
  </r>
  <r>
    <s v="ORD00817"/>
    <d v="2025-10-29T00:00:00"/>
    <x v="4"/>
    <x v="8"/>
    <x v="3"/>
    <x v="2"/>
    <x v="14"/>
    <n v="12"/>
    <n v="28000"/>
    <x v="133"/>
    <n v="235199.99999999997"/>
    <n v="100800.00000000003"/>
  </r>
  <r>
    <s v="ORD00818"/>
    <d v="2025-03-30T00:00:00"/>
    <x v="10"/>
    <x v="4"/>
    <x v="0"/>
    <x v="0"/>
    <x v="0"/>
    <n v="14"/>
    <n v="300"/>
    <x v="216"/>
    <n v="3066"/>
    <n v="1134"/>
  </r>
  <r>
    <s v="ORD00819"/>
    <d v="2025-01-18T00:00:00"/>
    <x v="2"/>
    <x v="5"/>
    <x v="1"/>
    <x v="0"/>
    <x v="12"/>
    <n v="17"/>
    <n v="800"/>
    <x v="41"/>
    <n v="10744"/>
    <n v="2856"/>
  </r>
  <r>
    <s v="ORD00820"/>
    <d v="2025-12-10T00:00:00"/>
    <x v="1"/>
    <x v="0"/>
    <x v="2"/>
    <x v="0"/>
    <x v="0"/>
    <n v="2"/>
    <n v="300"/>
    <x v="0"/>
    <n v="486.00000000000006"/>
    <n v="113.99999999999994"/>
  </r>
  <r>
    <s v="ORD00821"/>
    <d v="2025-05-16T00:00:00"/>
    <x v="6"/>
    <x v="2"/>
    <x v="3"/>
    <x v="2"/>
    <x v="5"/>
    <n v="20"/>
    <n v="25000"/>
    <x v="205"/>
    <n v="390000"/>
    <n v="110000"/>
  </r>
  <r>
    <s v="ORD00822"/>
    <d v="2025-03-16T00:00:00"/>
    <x v="10"/>
    <x v="6"/>
    <x v="4"/>
    <x v="1"/>
    <x v="1"/>
    <n v="5"/>
    <n v="15000"/>
    <x v="46"/>
    <n v="60750.000000000007"/>
    <n v="14249.999999999993"/>
  </r>
  <r>
    <s v="ORD00823"/>
    <d v="2025-01-18T00:00:00"/>
    <x v="2"/>
    <x v="1"/>
    <x v="3"/>
    <x v="0"/>
    <x v="0"/>
    <n v="20"/>
    <n v="300"/>
    <x v="141"/>
    <n v="4620"/>
    <n v="1380"/>
  </r>
  <r>
    <s v="ORD00824"/>
    <d v="2025-11-27T00:00:00"/>
    <x v="3"/>
    <x v="1"/>
    <x v="4"/>
    <x v="2"/>
    <x v="5"/>
    <n v="19"/>
    <n v="25000"/>
    <x v="43"/>
    <n v="332500"/>
    <n v="142500"/>
  </r>
  <r>
    <s v="ORD00825"/>
    <d v="2025-08-01T00:00:00"/>
    <x v="8"/>
    <x v="6"/>
    <x v="2"/>
    <x v="2"/>
    <x v="16"/>
    <n v="4"/>
    <n v="1500"/>
    <x v="141"/>
    <n v="4680"/>
    <n v="1320"/>
  </r>
  <r>
    <s v="ORD00826"/>
    <d v="2025-01-10T00:00:00"/>
    <x v="2"/>
    <x v="6"/>
    <x v="4"/>
    <x v="1"/>
    <x v="7"/>
    <n v="8"/>
    <n v="18000"/>
    <x v="14"/>
    <n v="116640.00000000001"/>
    <n v="27359.999999999985"/>
  </r>
  <r>
    <s v="ORD00827"/>
    <d v="2025-04-11T00:00:00"/>
    <x v="9"/>
    <x v="8"/>
    <x v="2"/>
    <x v="1"/>
    <x v="9"/>
    <n v="9"/>
    <n v="22000"/>
    <x v="85"/>
    <n v="168300"/>
    <n v="29700"/>
  </r>
  <r>
    <s v="ORD00828"/>
    <d v="2025-05-15T00:00:00"/>
    <x v="6"/>
    <x v="2"/>
    <x v="2"/>
    <x v="0"/>
    <x v="0"/>
    <n v="2"/>
    <n v="300"/>
    <x v="0"/>
    <n v="420"/>
    <n v="180"/>
  </r>
  <r>
    <s v="ORD00829"/>
    <d v="2025-07-08T00:00:00"/>
    <x v="11"/>
    <x v="9"/>
    <x v="0"/>
    <x v="1"/>
    <x v="9"/>
    <n v="7"/>
    <n v="22000"/>
    <x v="182"/>
    <n v="112420"/>
    <n v="41580"/>
  </r>
  <r>
    <s v="ORD00830"/>
    <d v="2025-07-07T00:00:00"/>
    <x v="11"/>
    <x v="5"/>
    <x v="4"/>
    <x v="2"/>
    <x v="6"/>
    <n v="12"/>
    <n v="35000"/>
    <x v="30"/>
    <n v="323400"/>
    <n v="96600"/>
  </r>
  <r>
    <s v="ORD00831"/>
    <d v="2025-08-11T00:00:00"/>
    <x v="8"/>
    <x v="9"/>
    <x v="3"/>
    <x v="1"/>
    <x v="1"/>
    <n v="20"/>
    <n v="15000"/>
    <x v="64"/>
    <n v="240000"/>
    <n v="60000"/>
  </r>
  <r>
    <s v="ORD00832"/>
    <d v="2025-09-28T00:00:00"/>
    <x v="0"/>
    <x v="4"/>
    <x v="0"/>
    <x v="1"/>
    <x v="4"/>
    <n v="3"/>
    <n v="5000"/>
    <x v="121"/>
    <n v="12150"/>
    <n v="2850"/>
  </r>
  <r>
    <s v="ORD00833"/>
    <d v="2025-12-28T00:00:00"/>
    <x v="1"/>
    <x v="7"/>
    <x v="2"/>
    <x v="0"/>
    <x v="13"/>
    <n v="20"/>
    <n v="1200"/>
    <x v="19"/>
    <n v="17520"/>
    <n v="6480"/>
  </r>
  <r>
    <s v="ORD00834"/>
    <d v="2025-11-02T00:00:00"/>
    <x v="3"/>
    <x v="2"/>
    <x v="0"/>
    <x v="1"/>
    <x v="11"/>
    <n v="15"/>
    <n v="12000"/>
    <x v="1"/>
    <n v="142200"/>
    <n v="37800"/>
  </r>
  <r>
    <s v="ORD00835"/>
    <d v="2025-01-18T00:00:00"/>
    <x v="2"/>
    <x v="8"/>
    <x v="4"/>
    <x v="0"/>
    <x v="12"/>
    <n v="12"/>
    <n v="800"/>
    <x v="166"/>
    <n v="7584"/>
    <n v="2016"/>
  </r>
  <r>
    <s v="ORD00836"/>
    <d v="2025-10-04T00:00:00"/>
    <x v="4"/>
    <x v="5"/>
    <x v="3"/>
    <x v="0"/>
    <x v="0"/>
    <n v="15"/>
    <n v="300"/>
    <x v="51"/>
    <n v="3330"/>
    <n v="1170"/>
  </r>
  <r>
    <s v="ORD00837"/>
    <d v="2025-04-27T00:00:00"/>
    <x v="9"/>
    <x v="3"/>
    <x v="1"/>
    <x v="2"/>
    <x v="2"/>
    <n v="19"/>
    <n v="45000"/>
    <x v="200"/>
    <n v="615600"/>
    <n v="239400"/>
  </r>
  <r>
    <s v="ORD00838"/>
    <d v="2025-12-07T00:00:00"/>
    <x v="1"/>
    <x v="5"/>
    <x v="2"/>
    <x v="0"/>
    <x v="8"/>
    <n v="2"/>
    <n v="250"/>
    <x v="175"/>
    <n v="420"/>
    <n v="80"/>
  </r>
  <r>
    <s v="ORD00839"/>
    <d v="2025-09-09T00:00:00"/>
    <x v="0"/>
    <x v="8"/>
    <x v="1"/>
    <x v="0"/>
    <x v="0"/>
    <n v="20"/>
    <n v="300"/>
    <x v="141"/>
    <n v="4620"/>
    <n v="1380"/>
  </r>
  <r>
    <s v="ORD00840"/>
    <d v="2025-01-14T00:00:00"/>
    <x v="2"/>
    <x v="5"/>
    <x v="2"/>
    <x v="1"/>
    <x v="4"/>
    <n v="11"/>
    <n v="5000"/>
    <x v="177"/>
    <n v="42350"/>
    <n v="12650"/>
  </r>
  <r>
    <s v="ORD00841"/>
    <d v="2025-08-25T00:00:00"/>
    <x v="8"/>
    <x v="3"/>
    <x v="3"/>
    <x v="1"/>
    <x v="4"/>
    <n v="10"/>
    <n v="5000"/>
    <x v="11"/>
    <n v="36000"/>
    <n v="14000"/>
  </r>
  <r>
    <s v="ORD00842"/>
    <d v="2025-08-07T00:00:00"/>
    <x v="8"/>
    <x v="0"/>
    <x v="2"/>
    <x v="2"/>
    <x v="10"/>
    <n v="19"/>
    <n v="2500"/>
    <x v="83"/>
    <n v="35150"/>
    <n v="12350"/>
  </r>
  <r>
    <s v="ORD00843"/>
    <d v="2025-07-10T00:00:00"/>
    <x v="11"/>
    <x v="5"/>
    <x v="2"/>
    <x v="1"/>
    <x v="9"/>
    <n v="18"/>
    <n v="22000"/>
    <x v="44"/>
    <n v="293040"/>
    <n v="102960"/>
  </r>
  <r>
    <s v="ORD00844"/>
    <d v="2025-07-29T00:00:00"/>
    <x v="11"/>
    <x v="3"/>
    <x v="0"/>
    <x v="2"/>
    <x v="10"/>
    <n v="7"/>
    <n v="2500"/>
    <x v="217"/>
    <n v="12425"/>
    <n v="5075"/>
  </r>
  <r>
    <s v="ORD00845"/>
    <d v="2025-08-22T00:00:00"/>
    <x v="8"/>
    <x v="8"/>
    <x v="1"/>
    <x v="2"/>
    <x v="10"/>
    <n v="13"/>
    <n v="2500"/>
    <x v="158"/>
    <n v="23400"/>
    <n v="9100"/>
  </r>
  <r>
    <s v="ORD00846"/>
    <d v="2025-11-29T00:00:00"/>
    <x v="3"/>
    <x v="3"/>
    <x v="1"/>
    <x v="0"/>
    <x v="3"/>
    <n v="6"/>
    <n v="150"/>
    <x v="164"/>
    <n v="702"/>
    <n v="198"/>
  </r>
  <r>
    <s v="ORD00847"/>
    <d v="2025-11-10T00:00:00"/>
    <x v="3"/>
    <x v="8"/>
    <x v="1"/>
    <x v="1"/>
    <x v="9"/>
    <n v="4"/>
    <n v="22000"/>
    <x v="180"/>
    <n v="66000"/>
    <n v="22000"/>
  </r>
  <r>
    <s v="ORD00848"/>
    <d v="2025-07-20T00:00:00"/>
    <x v="11"/>
    <x v="3"/>
    <x v="4"/>
    <x v="2"/>
    <x v="10"/>
    <n v="2"/>
    <n v="2500"/>
    <x v="162"/>
    <n v="3750"/>
    <n v="1250"/>
  </r>
  <r>
    <s v="ORD00849"/>
    <d v="2025-07-08T00:00:00"/>
    <x v="11"/>
    <x v="7"/>
    <x v="4"/>
    <x v="0"/>
    <x v="0"/>
    <n v="12"/>
    <n v="300"/>
    <x v="109"/>
    <n v="2700"/>
    <n v="900"/>
  </r>
  <r>
    <s v="ORD00850"/>
    <d v="2025-05-22T00:00:00"/>
    <x v="6"/>
    <x v="4"/>
    <x v="3"/>
    <x v="0"/>
    <x v="8"/>
    <n v="14"/>
    <n v="250"/>
    <x v="142"/>
    <n v="2940"/>
    <n v="560"/>
  </r>
  <r>
    <s v="ORD00851"/>
    <d v="2025-11-02T00:00:00"/>
    <x v="3"/>
    <x v="0"/>
    <x v="1"/>
    <x v="2"/>
    <x v="6"/>
    <n v="18"/>
    <n v="35000"/>
    <x v="193"/>
    <n v="497700"/>
    <n v="132300"/>
  </r>
  <r>
    <s v="ORD00852"/>
    <d v="2025-07-01T00:00:00"/>
    <x v="11"/>
    <x v="9"/>
    <x v="4"/>
    <x v="0"/>
    <x v="12"/>
    <n v="3"/>
    <n v="800"/>
    <x v="32"/>
    <n v="1680"/>
    <n v="720"/>
  </r>
  <r>
    <s v="ORD00853"/>
    <d v="2025-10-16T00:00:00"/>
    <x v="4"/>
    <x v="9"/>
    <x v="1"/>
    <x v="0"/>
    <x v="13"/>
    <n v="3"/>
    <n v="1200"/>
    <x v="109"/>
    <n v="2772"/>
    <n v="828"/>
  </r>
  <r>
    <s v="ORD00854"/>
    <d v="2025-11-11T00:00:00"/>
    <x v="3"/>
    <x v="3"/>
    <x v="2"/>
    <x v="2"/>
    <x v="6"/>
    <n v="15"/>
    <n v="35000"/>
    <x v="113"/>
    <n v="430500"/>
    <n v="94500"/>
  </r>
  <r>
    <s v="ORD00855"/>
    <d v="2025-02-05T00:00:00"/>
    <x v="7"/>
    <x v="3"/>
    <x v="0"/>
    <x v="1"/>
    <x v="4"/>
    <n v="11"/>
    <n v="5000"/>
    <x v="177"/>
    <n v="39600"/>
    <n v="15400"/>
  </r>
  <r>
    <s v="ORD00856"/>
    <d v="2025-05-19T00:00:00"/>
    <x v="6"/>
    <x v="6"/>
    <x v="3"/>
    <x v="1"/>
    <x v="4"/>
    <n v="16"/>
    <n v="5000"/>
    <x v="23"/>
    <n v="60800"/>
    <n v="19200"/>
  </r>
  <r>
    <s v="ORD00857"/>
    <d v="2025-07-15T00:00:00"/>
    <x v="11"/>
    <x v="7"/>
    <x v="3"/>
    <x v="0"/>
    <x v="0"/>
    <n v="5"/>
    <n v="300"/>
    <x v="92"/>
    <n v="1140"/>
    <n v="360"/>
  </r>
  <r>
    <s v="ORD00858"/>
    <d v="2025-04-13T00:00:00"/>
    <x v="9"/>
    <x v="6"/>
    <x v="0"/>
    <x v="1"/>
    <x v="1"/>
    <n v="15"/>
    <n v="15000"/>
    <x v="174"/>
    <n v="164250"/>
    <n v="60750"/>
  </r>
  <r>
    <s v="ORD00859"/>
    <d v="2025-11-01T00:00:00"/>
    <x v="3"/>
    <x v="6"/>
    <x v="1"/>
    <x v="0"/>
    <x v="3"/>
    <n v="8"/>
    <n v="150"/>
    <x v="29"/>
    <n v="948"/>
    <n v="252"/>
  </r>
  <r>
    <s v="ORD00860"/>
    <d v="2025-03-26T00:00:00"/>
    <x v="10"/>
    <x v="7"/>
    <x v="3"/>
    <x v="2"/>
    <x v="2"/>
    <n v="8"/>
    <n v="45000"/>
    <x v="34"/>
    <n v="273600"/>
    <n v="86400"/>
  </r>
  <r>
    <s v="ORD00861"/>
    <d v="2025-05-13T00:00:00"/>
    <x v="6"/>
    <x v="2"/>
    <x v="0"/>
    <x v="0"/>
    <x v="8"/>
    <n v="4"/>
    <n v="250"/>
    <x v="13"/>
    <n v="850"/>
    <n v="150"/>
  </r>
  <r>
    <s v="ORD00862"/>
    <d v="2025-04-19T00:00:00"/>
    <x v="9"/>
    <x v="3"/>
    <x v="0"/>
    <x v="2"/>
    <x v="5"/>
    <n v="14"/>
    <n v="25000"/>
    <x v="185"/>
    <n v="290500"/>
    <n v="59500"/>
  </r>
  <r>
    <s v="ORD00863"/>
    <d v="2025-07-14T00:00:00"/>
    <x v="11"/>
    <x v="2"/>
    <x v="4"/>
    <x v="2"/>
    <x v="2"/>
    <n v="1"/>
    <n v="45000"/>
    <x v="28"/>
    <n v="31499.999999999996"/>
    <n v="13500.000000000004"/>
  </r>
  <r>
    <s v="ORD00864"/>
    <d v="2025-05-30T00:00:00"/>
    <x v="6"/>
    <x v="7"/>
    <x v="0"/>
    <x v="1"/>
    <x v="7"/>
    <n v="2"/>
    <n v="18000"/>
    <x v="45"/>
    <n v="26280"/>
    <n v="9720"/>
  </r>
  <r>
    <s v="ORD00865"/>
    <d v="2025-06-29T00:00:00"/>
    <x v="5"/>
    <x v="0"/>
    <x v="0"/>
    <x v="0"/>
    <x v="0"/>
    <n v="14"/>
    <n v="300"/>
    <x v="216"/>
    <n v="3066"/>
    <n v="1134"/>
  </r>
  <r>
    <s v="ORD00866"/>
    <d v="2025-05-22T00:00:00"/>
    <x v="6"/>
    <x v="1"/>
    <x v="4"/>
    <x v="1"/>
    <x v="1"/>
    <n v="4"/>
    <n v="15000"/>
    <x v="84"/>
    <n v="43800"/>
    <n v="16200"/>
  </r>
  <r>
    <s v="ORD00867"/>
    <d v="2025-07-14T00:00:00"/>
    <x v="11"/>
    <x v="6"/>
    <x v="4"/>
    <x v="2"/>
    <x v="14"/>
    <n v="3"/>
    <n v="28000"/>
    <x v="101"/>
    <n v="59640"/>
    <n v="24360"/>
  </r>
  <r>
    <s v="ORD00868"/>
    <d v="2025-01-02T00:00:00"/>
    <x v="2"/>
    <x v="6"/>
    <x v="4"/>
    <x v="0"/>
    <x v="8"/>
    <n v="12"/>
    <n v="250"/>
    <x v="68"/>
    <n v="2550"/>
    <n v="450"/>
  </r>
  <r>
    <s v="ORD00869"/>
    <d v="2025-09-10T00:00:00"/>
    <x v="0"/>
    <x v="8"/>
    <x v="3"/>
    <x v="1"/>
    <x v="11"/>
    <n v="9"/>
    <n v="12000"/>
    <x v="75"/>
    <n v="78840"/>
    <n v="29160"/>
  </r>
  <r>
    <s v="ORD00870"/>
    <d v="2025-05-26T00:00:00"/>
    <x v="6"/>
    <x v="8"/>
    <x v="2"/>
    <x v="2"/>
    <x v="5"/>
    <n v="14"/>
    <n v="25000"/>
    <x v="185"/>
    <n v="280000"/>
    <n v="70000"/>
  </r>
  <r>
    <s v="ORD00871"/>
    <d v="2025-11-06T00:00:00"/>
    <x v="3"/>
    <x v="6"/>
    <x v="2"/>
    <x v="2"/>
    <x v="16"/>
    <n v="11"/>
    <n v="1500"/>
    <x v="186"/>
    <n v="13200"/>
    <n v="3300"/>
  </r>
  <r>
    <s v="ORD00872"/>
    <d v="2025-10-16T00:00:00"/>
    <x v="4"/>
    <x v="2"/>
    <x v="4"/>
    <x v="2"/>
    <x v="15"/>
    <n v="11"/>
    <n v="85000"/>
    <x v="110"/>
    <n v="785400"/>
    <n v="149600"/>
  </r>
  <r>
    <s v="ORD00873"/>
    <d v="2025-07-09T00:00:00"/>
    <x v="11"/>
    <x v="0"/>
    <x v="1"/>
    <x v="1"/>
    <x v="9"/>
    <n v="1"/>
    <n v="22000"/>
    <x v="151"/>
    <n v="16720"/>
    <n v="5280"/>
  </r>
  <r>
    <s v="ORD00874"/>
    <d v="2025-01-02T00:00:00"/>
    <x v="2"/>
    <x v="2"/>
    <x v="0"/>
    <x v="0"/>
    <x v="8"/>
    <n v="17"/>
    <n v="250"/>
    <x v="178"/>
    <n v="3527.5"/>
    <n v="722.5"/>
  </r>
  <r>
    <s v="ORD00875"/>
    <d v="2025-02-10T00:00:00"/>
    <x v="7"/>
    <x v="0"/>
    <x v="2"/>
    <x v="0"/>
    <x v="3"/>
    <n v="1"/>
    <n v="150"/>
    <x v="40"/>
    <n v="120"/>
    <n v="30"/>
  </r>
  <r>
    <s v="ORD00876"/>
    <d v="2025-05-08T00:00:00"/>
    <x v="6"/>
    <x v="5"/>
    <x v="4"/>
    <x v="2"/>
    <x v="2"/>
    <n v="18"/>
    <n v="45000"/>
    <x v="2"/>
    <n v="567000"/>
    <n v="243000"/>
  </r>
  <r>
    <s v="ORD00877"/>
    <d v="2025-07-24T00:00:00"/>
    <x v="11"/>
    <x v="8"/>
    <x v="0"/>
    <x v="2"/>
    <x v="10"/>
    <n v="19"/>
    <n v="2500"/>
    <x v="83"/>
    <n v="35625"/>
    <n v="11875"/>
  </r>
  <r>
    <s v="ORD00878"/>
    <d v="2025-10-22T00:00:00"/>
    <x v="4"/>
    <x v="5"/>
    <x v="2"/>
    <x v="0"/>
    <x v="13"/>
    <n v="15"/>
    <n v="1200"/>
    <x v="76"/>
    <n v="15120"/>
    <n v="2880"/>
  </r>
  <r>
    <s v="ORD00879"/>
    <d v="2025-06-22T00:00:00"/>
    <x v="5"/>
    <x v="8"/>
    <x v="3"/>
    <x v="1"/>
    <x v="7"/>
    <n v="9"/>
    <n v="18000"/>
    <x v="79"/>
    <n v="124740"/>
    <n v="37260"/>
  </r>
  <r>
    <s v="ORD00880"/>
    <d v="2025-03-02T00:00:00"/>
    <x v="10"/>
    <x v="6"/>
    <x v="3"/>
    <x v="1"/>
    <x v="1"/>
    <n v="6"/>
    <n v="15000"/>
    <x v="5"/>
    <n v="72000"/>
    <n v="18000"/>
  </r>
  <r>
    <s v="ORD00881"/>
    <d v="2025-06-09T00:00:00"/>
    <x v="5"/>
    <x v="8"/>
    <x v="1"/>
    <x v="2"/>
    <x v="14"/>
    <n v="4"/>
    <n v="28000"/>
    <x v="218"/>
    <n v="84000"/>
    <n v="28000"/>
  </r>
  <r>
    <s v="ORD00882"/>
    <d v="2025-01-20T00:00:00"/>
    <x v="2"/>
    <x v="2"/>
    <x v="0"/>
    <x v="0"/>
    <x v="3"/>
    <n v="3"/>
    <n v="150"/>
    <x v="4"/>
    <n v="315"/>
    <n v="135"/>
  </r>
  <r>
    <s v="ORD00883"/>
    <d v="2025-04-27T00:00:00"/>
    <x v="9"/>
    <x v="5"/>
    <x v="0"/>
    <x v="2"/>
    <x v="16"/>
    <n v="13"/>
    <n v="1500"/>
    <x v="127"/>
    <n v="14820"/>
    <n v="4680"/>
  </r>
  <r>
    <s v="ORD00884"/>
    <d v="2025-10-21T00:00:00"/>
    <x v="4"/>
    <x v="3"/>
    <x v="2"/>
    <x v="0"/>
    <x v="13"/>
    <n v="7"/>
    <n v="1200"/>
    <x v="125"/>
    <n v="6636"/>
    <n v="1764"/>
  </r>
  <r>
    <s v="ORD00885"/>
    <d v="2025-02-03T00:00:00"/>
    <x v="7"/>
    <x v="2"/>
    <x v="4"/>
    <x v="2"/>
    <x v="5"/>
    <n v="17"/>
    <n v="25000"/>
    <x v="6"/>
    <n v="323000"/>
    <n v="102000"/>
  </r>
  <r>
    <s v="ORD00886"/>
    <d v="2025-01-22T00:00:00"/>
    <x v="2"/>
    <x v="3"/>
    <x v="4"/>
    <x v="0"/>
    <x v="13"/>
    <n v="4"/>
    <n v="1200"/>
    <x v="50"/>
    <n v="3744"/>
    <n v="1056"/>
  </r>
  <r>
    <s v="ORD00887"/>
    <d v="2025-05-27T00:00:00"/>
    <x v="6"/>
    <x v="0"/>
    <x v="2"/>
    <x v="2"/>
    <x v="10"/>
    <n v="16"/>
    <n v="2500"/>
    <x v="82"/>
    <n v="32000"/>
    <n v="8000"/>
  </r>
  <r>
    <s v="ORD00888"/>
    <d v="2025-11-15T00:00:00"/>
    <x v="3"/>
    <x v="1"/>
    <x v="1"/>
    <x v="1"/>
    <x v="11"/>
    <n v="17"/>
    <n v="12000"/>
    <x v="204"/>
    <n v="173400"/>
    <n v="30600"/>
  </r>
  <r>
    <s v="ORD00889"/>
    <d v="2025-05-18T00:00:00"/>
    <x v="6"/>
    <x v="0"/>
    <x v="1"/>
    <x v="1"/>
    <x v="1"/>
    <n v="19"/>
    <n v="15000"/>
    <x v="140"/>
    <n v="242250"/>
    <n v="42750"/>
  </r>
  <r>
    <s v="ORD00890"/>
    <d v="2025-05-16T00:00:00"/>
    <x v="6"/>
    <x v="6"/>
    <x v="3"/>
    <x v="2"/>
    <x v="15"/>
    <n v="15"/>
    <n v="85000"/>
    <x v="69"/>
    <n v="1007250"/>
    <n v="267750"/>
  </r>
  <r>
    <s v="ORD00891"/>
    <d v="2025-03-15T00:00:00"/>
    <x v="10"/>
    <x v="8"/>
    <x v="2"/>
    <x v="0"/>
    <x v="3"/>
    <n v="2"/>
    <n v="150"/>
    <x v="145"/>
    <n v="249"/>
    <n v="51"/>
  </r>
  <r>
    <s v="ORD00892"/>
    <d v="2025-04-16T00:00:00"/>
    <x v="9"/>
    <x v="5"/>
    <x v="0"/>
    <x v="2"/>
    <x v="5"/>
    <n v="13"/>
    <n v="25000"/>
    <x v="31"/>
    <n v="243750"/>
    <n v="81250"/>
  </r>
  <r>
    <s v="ORD00893"/>
    <d v="2025-03-11T00:00:00"/>
    <x v="10"/>
    <x v="9"/>
    <x v="4"/>
    <x v="2"/>
    <x v="16"/>
    <n v="14"/>
    <n v="1500"/>
    <x v="73"/>
    <n v="14910"/>
    <n v="6090"/>
  </r>
  <r>
    <s v="ORD00894"/>
    <d v="2025-02-22T00:00:00"/>
    <x v="7"/>
    <x v="3"/>
    <x v="0"/>
    <x v="1"/>
    <x v="9"/>
    <n v="5"/>
    <n v="22000"/>
    <x v="105"/>
    <n v="79200"/>
    <n v="30800"/>
  </r>
  <r>
    <s v="ORD00895"/>
    <d v="2025-08-14T00:00:00"/>
    <x v="8"/>
    <x v="7"/>
    <x v="4"/>
    <x v="1"/>
    <x v="4"/>
    <n v="7"/>
    <n v="5000"/>
    <x v="18"/>
    <n v="29400"/>
    <n v="5600"/>
  </r>
  <r>
    <s v="ORD00896"/>
    <d v="2025-11-11T00:00:00"/>
    <x v="3"/>
    <x v="0"/>
    <x v="1"/>
    <x v="1"/>
    <x v="9"/>
    <n v="19"/>
    <n v="22000"/>
    <x v="86"/>
    <n v="313500"/>
    <n v="104500"/>
  </r>
  <r>
    <s v="ORD00897"/>
    <d v="2025-11-30T00:00:00"/>
    <x v="3"/>
    <x v="2"/>
    <x v="0"/>
    <x v="1"/>
    <x v="9"/>
    <n v="16"/>
    <n v="22000"/>
    <x v="24"/>
    <n v="260480"/>
    <n v="91520"/>
  </r>
  <r>
    <s v="ORD00898"/>
    <d v="2025-07-07T00:00:00"/>
    <x v="11"/>
    <x v="5"/>
    <x v="1"/>
    <x v="2"/>
    <x v="16"/>
    <n v="9"/>
    <n v="1500"/>
    <x v="187"/>
    <n v="9720"/>
    <n v="3780"/>
  </r>
  <r>
    <s v="ORD00899"/>
    <d v="2025-09-01T00:00:00"/>
    <x v="0"/>
    <x v="2"/>
    <x v="2"/>
    <x v="0"/>
    <x v="12"/>
    <n v="9"/>
    <n v="800"/>
    <x v="27"/>
    <n v="5040"/>
    <n v="2160"/>
  </r>
  <r>
    <s v="ORD00900"/>
    <d v="2025-11-29T00:00:00"/>
    <x v="3"/>
    <x v="6"/>
    <x v="2"/>
    <x v="2"/>
    <x v="6"/>
    <n v="2"/>
    <n v="35000"/>
    <x v="148"/>
    <n v="49700"/>
    <n v="20300"/>
  </r>
  <r>
    <s v="ORD00901"/>
    <d v="2025-07-12T00:00:00"/>
    <x v="11"/>
    <x v="3"/>
    <x v="4"/>
    <x v="2"/>
    <x v="5"/>
    <n v="8"/>
    <n v="25000"/>
    <x v="96"/>
    <n v="158000"/>
    <n v="42000"/>
  </r>
  <r>
    <s v="ORD00902"/>
    <d v="2025-09-15T00:00:00"/>
    <x v="0"/>
    <x v="5"/>
    <x v="2"/>
    <x v="0"/>
    <x v="0"/>
    <n v="15"/>
    <n v="300"/>
    <x v="51"/>
    <n v="3555"/>
    <n v="945"/>
  </r>
  <r>
    <s v="ORD00903"/>
    <d v="2025-03-23T00:00:00"/>
    <x v="10"/>
    <x v="1"/>
    <x v="2"/>
    <x v="2"/>
    <x v="5"/>
    <n v="2"/>
    <n v="25000"/>
    <x v="11"/>
    <n v="36000"/>
    <n v="14000"/>
  </r>
  <r>
    <s v="ORD00904"/>
    <d v="2025-03-02T00:00:00"/>
    <x v="10"/>
    <x v="6"/>
    <x v="0"/>
    <x v="1"/>
    <x v="7"/>
    <n v="8"/>
    <n v="18000"/>
    <x v="14"/>
    <n v="103680"/>
    <n v="40320"/>
  </r>
  <r>
    <s v="ORD00905"/>
    <d v="2025-10-31T00:00:00"/>
    <x v="4"/>
    <x v="5"/>
    <x v="0"/>
    <x v="0"/>
    <x v="12"/>
    <n v="17"/>
    <n v="800"/>
    <x v="41"/>
    <n v="10336"/>
    <n v="3264"/>
  </r>
  <r>
    <s v="ORD00906"/>
    <d v="2025-07-13T00:00:00"/>
    <x v="11"/>
    <x v="8"/>
    <x v="4"/>
    <x v="1"/>
    <x v="9"/>
    <n v="5"/>
    <n v="22000"/>
    <x v="105"/>
    <n v="90200"/>
    <n v="19800"/>
  </r>
  <r>
    <s v="ORD00907"/>
    <d v="2025-12-26T00:00:00"/>
    <x v="1"/>
    <x v="9"/>
    <x v="1"/>
    <x v="2"/>
    <x v="5"/>
    <n v="10"/>
    <n v="25000"/>
    <x v="122"/>
    <n v="185000"/>
    <n v="65000"/>
  </r>
  <r>
    <s v="ORD00908"/>
    <d v="2025-06-02T00:00:00"/>
    <x v="5"/>
    <x v="0"/>
    <x v="4"/>
    <x v="2"/>
    <x v="6"/>
    <n v="14"/>
    <n v="35000"/>
    <x v="126"/>
    <n v="377300"/>
    <n v="112700"/>
  </r>
  <r>
    <s v="ORD00909"/>
    <d v="2025-05-28T00:00:00"/>
    <x v="6"/>
    <x v="6"/>
    <x v="2"/>
    <x v="0"/>
    <x v="12"/>
    <n v="8"/>
    <n v="800"/>
    <x v="63"/>
    <n v="4544"/>
    <n v="1856"/>
  </r>
  <r>
    <s v="ORD00910"/>
    <d v="2025-09-04T00:00:00"/>
    <x v="0"/>
    <x v="9"/>
    <x v="1"/>
    <x v="0"/>
    <x v="12"/>
    <n v="16"/>
    <n v="800"/>
    <x v="195"/>
    <n v="9600"/>
    <n v="3200"/>
  </r>
  <r>
    <s v="ORD00911"/>
    <d v="2025-04-08T00:00:00"/>
    <x v="9"/>
    <x v="7"/>
    <x v="0"/>
    <x v="1"/>
    <x v="11"/>
    <n v="15"/>
    <n v="12000"/>
    <x v="1"/>
    <n v="129600"/>
    <n v="50400"/>
  </r>
  <r>
    <s v="ORD00912"/>
    <d v="2025-03-23T00:00:00"/>
    <x v="10"/>
    <x v="4"/>
    <x v="4"/>
    <x v="1"/>
    <x v="11"/>
    <n v="15"/>
    <n v="12000"/>
    <x v="1"/>
    <n v="142200"/>
    <n v="37800"/>
  </r>
  <r>
    <s v="ORD00913"/>
    <d v="2025-10-25T00:00:00"/>
    <x v="4"/>
    <x v="7"/>
    <x v="3"/>
    <x v="2"/>
    <x v="15"/>
    <n v="13"/>
    <n v="85000"/>
    <x v="194"/>
    <n v="906100"/>
    <n v="198900"/>
  </r>
  <r>
    <s v="ORD00914"/>
    <d v="2025-08-12T00:00:00"/>
    <x v="8"/>
    <x v="3"/>
    <x v="3"/>
    <x v="0"/>
    <x v="0"/>
    <n v="2"/>
    <n v="300"/>
    <x v="0"/>
    <n v="444"/>
    <n v="156"/>
  </r>
  <r>
    <s v="ORD00915"/>
    <d v="2025-07-23T00:00:00"/>
    <x v="11"/>
    <x v="8"/>
    <x v="4"/>
    <x v="0"/>
    <x v="13"/>
    <n v="17"/>
    <n v="1200"/>
    <x v="208"/>
    <n v="15708"/>
    <n v="4692"/>
  </r>
  <r>
    <s v="ORD00916"/>
    <d v="2025-06-29T00:00:00"/>
    <x v="5"/>
    <x v="3"/>
    <x v="3"/>
    <x v="0"/>
    <x v="8"/>
    <n v="2"/>
    <n v="250"/>
    <x v="175"/>
    <n v="400"/>
    <n v="100"/>
  </r>
  <r>
    <s v="ORD00917"/>
    <d v="2025-06-08T00:00:00"/>
    <x v="5"/>
    <x v="0"/>
    <x v="0"/>
    <x v="0"/>
    <x v="3"/>
    <n v="18"/>
    <n v="150"/>
    <x v="7"/>
    <n v="2268"/>
    <n v="432"/>
  </r>
  <r>
    <s v="ORD00918"/>
    <d v="2025-06-13T00:00:00"/>
    <x v="5"/>
    <x v="9"/>
    <x v="0"/>
    <x v="0"/>
    <x v="12"/>
    <n v="8"/>
    <n v="800"/>
    <x v="63"/>
    <n v="4736"/>
    <n v="1664"/>
  </r>
  <r>
    <s v="ORD00919"/>
    <d v="2025-07-02T00:00:00"/>
    <x v="11"/>
    <x v="7"/>
    <x v="2"/>
    <x v="0"/>
    <x v="0"/>
    <n v="5"/>
    <n v="300"/>
    <x v="92"/>
    <n v="1080"/>
    <n v="420"/>
  </r>
  <r>
    <s v="ORD00920"/>
    <d v="2025-09-05T00:00:00"/>
    <x v="0"/>
    <x v="9"/>
    <x v="3"/>
    <x v="0"/>
    <x v="12"/>
    <n v="2"/>
    <n v="800"/>
    <x v="111"/>
    <n v="1248"/>
    <n v="352"/>
  </r>
  <r>
    <s v="ORD00921"/>
    <d v="2025-02-07T00:00:00"/>
    <x v="7"/>
    <x v="1"/>
    <x v="2"/>
    <x v="0"/>
    <x v="13"/>
    <n v="3"/>
    <n v="1200"/>
    <x v="109"/>
    <n v="2664"/>
    <n v="936"/>
  </r>
  <r>
    <s v="ORD00922"/>
    <d v="2025-11-25T00:00:00"/>
    <x v="3"/>
    <x v="6"/>
    <x v="3"/>
    <x v="1"/>
    <x v="1"/>
    <n v="6"/>
    <n v="15000"/>
    <x v="5"/>
    <n v="76500"/>
    <n v="13500"/>
  </r>
  <r>
    <s v="ORD00923"/>
    <d v="2025-05-31T00:00:00"/>
    <x v="6"/>
    <x v="7"/>
    <x v="1"/>
    <x v="2"/>
    <x v="10"/>
    <n v="6"/>
    <n v="2500"/>
    <x v="121"/>
    <n v="11700"/>
    <n v="3300"/>
  </r>
  <r>
    <s v="ORD00924"/>
    <d v="2025-05-19T00:00:00"/>
    <x v="6"/>
    <x v="2"/>
    <x v="2"/>
    <x v="0"/>
    <x v="3"/>
    <n v="17"/>
    <n v="150"/>
    <x v="78"/>
    <n v="1912.5"/>
    <n v="637.5"/>
  </r>
  <r>
    <s v="ORD00925"/>
    <d v="2025-08-23T00:00:00"/>
    <x v="8"/>
    <x v="0"/>
    <x v="4"/>
    <x v="0"/>
    <x v="0"/>
    <n v="12"/>
    <n v="300"/>
    <x v="109"/>
    <n v="2988"/>
    <n v="612"/>
  </r>
  <r>
    <s v="ORD00926"/>
    <d v="2025-03-15T00:00:00"/>
    <x v="10"/>
    <x v="3"/>
    <x v="4"/>
    <x v="2"/>
    <x v="14"/>
    <n v="6"/>
    <n v="28000"/>
    <x v="54"/>
    <n v="137760"/>
    <n v="30240"/>
  </r>
  <r>
    <s v="ORD00927"/>
    <d v="2025-08-13T00:00:00"/>
    <x v="8"/>
    <x v="3"/>
    <x v="4"/>
    <x v="0"/>
    <x v="3"/>
    <n v="13"/>
    <n v="150"/>
    <x v="191"/>
    <n v="1384.5"/>
    <n v="565.5"/>
  </r>
  <r>
    <s v="ORD00928"/>
    <d v="2025-03-04T00:00:00"/>
    <x v="10"/>
    <x v="2"/>
    <x v="3"/>
    <x v="2"/>
    <x v="10"/>
    <n v="19"/>
    <n v="2500"/>
    <x v="83"/>
    <n v="34675"/>
    <n v="12825"/>
  </r>
  <r>
    <s v="ORD00929"/>
    <d v="2025-03-25T00:00:00"/>
    <x v="10"/>
    <x v="1"/>
    <x v="0"/>
    <x v="0"/>
    <x v="12"/>
    <n v="12"/>
    <n v="800"/>
    <x v="166"/>
    <n v="7200"/>
    <n v="2400"/>
  </r>
  <r>
    <s v="ORD00930"/>
    <d v="2025-11-15T00:00:00"/>
    <x v="3"/>
    <x v="8"/>
    <x v="3"/>
    <x v="0"/>
    <x v="13"/>
    <n v="10"/>
    <n v="1200"/>
    <x v="56"/>
    <n v="9720"/>
    <n v="2280"/>
  </r>
  <r>
    <s v="ORD00931"/>
    <d v="2025-08-03T00:00:00"/>
    <x v="8"/>
    <x v="9"/>
    <x v="0"/>
    <x v="1"/>
    <x v="11"/>
    <n v="1"/>
    <n v="12000"/>
    <x v="56"/>
    <n v="9600"/>
    <n v="2400"/>
  </r>
  <r>
    <s v="ORD00932"/>
    <d v="2025-09-12T00:00:00"/>
    <x v="0"/>
    <x v="9"/>
    <x v="3"/>
    <x v="2"/>
    <x v="10"/>
    <n v="5"/>
    <n v="2500"/>
    <x v="33"/>
    <n v="9375"/>
    <n v="3125"/>
  </r>
  <r>
    <s v="ORD00933"/>
    <d v="2025-05-23T00:00:00"/>
    <x v="6"/>
    <x v="5"/>
    <x v="0"/>
    <x v="1"/>
    <x v="1"/>
    <n v="8"/>
    <n v="15000"/>
    <x v="155"/>
    <n v="99600"/>
    <n v="20400"/>
  </r>
  <r>
    <s v="ORD00934"/>
    <d v="2025-04-20T00:00:00"/>
    <x v="9"/>
    <x v="2"/>
    <x v="3"/>
    <x v="2"/>
    <x v="14"/>
    <n v="10"/>
    <n v="28000"/>
    <x v="9"/>
    <n v="198800"/>
    <n v="81200"/>
  </r>
  <r>
    <s v="ORD00935"/>
    <d v="2025-10-13T00:00:00"/>
    <x v="4"/>
    <x v="8"/>
    <x v="3"/>
    <x v="0"/>
    <x v="3"/>
    <n v="9"/>
    <n v="150"/>
    <x v="129"/>
    <n v="944.99999999999989"/>
    <n v="405.00000000000011"/>
  </r>
  <r>
    <s v="ORD00936"/>
    <d v="2025-06-01T00:00:00"/>
    <x v="5"/>
    <x v="5"/>
    <x v="2"/>
    <x v="1"/>
    <x v="9"/>
    <n v="15"/>
    <n v="22000"/>
    <x v="15"/>
    <n v="250800"/>
    <n v="79200"/>
  </r>
  <r>
    <s v="ORD00937"/>
    <d v="2025-12-14T00:00:00"/>
    <x v="1"/>
    <x v="1"/>
    <x v="1"/>
    <x v="2"/>
    <x v="15"/>
    <n v="19"/>
    <n v="85000"/>
    <x v="74"/>
    <n v="1356600"/>
    <n v="258400"/>
  </r>
  <r>
    <s v="ORD00938"/>
    <d v="2025-10-31T00:00:00"/>
    <x v="4"/>
    <x v="5"/>
    <x v="1"/>
    <x v="2"/>
    <x v="10"/>
    <n v="6"/>
    <n v="2500"/>
    <x v="121"/>
    <n v="10800"/>
    <n v="4200"/>
  </r>
  <r>
    <s v="ORD00939"/>
    <d v="2025-05-23T00:00:00"/>
    <x v="6"/>
    <x v="3"/>
    <x v="3"/>
    <x v="1"/>
    <x v="7"/>
    <n v="4"/>
    <n v="18000"/>
    <x v="132"/>
    <n v="57600"/>
    <n v="14400"/>
  </r>
  <r>
    <s v="ORD00940"/>
    <d v="2025-12-21T00:00:00"/>
    <x v="1"/>
    <x v="1"/>
    <x v="0"/>
    <x v="2"/>
    <x v="5"/>
    <n v="15"/>
    <n v="25000"/>
    <x v="12"/>
    <n v="266250"/>
    <n v="108750"/>
  </r>
  <r>
    <s v="ORD00941"/>
    <d v="2025-11-04T00:00:00"/>
    <x v="3"/>
    <x v="5"/>
    <x v="0"/>
    <x v="1"/>
    <x v="7"/>
    <n v="7"/>
    <n v="18000"/>
    <x v="139"/>
    <n v="102060"/>
    <n v="23940"/>
  </r>
  <r>
    <s v="ORD00942"/>
    <d v="2025-06-11T00:00:00"/>
    <x v="5"/>
    <x v="2"/>
    <x v="0"/>
    <x v="1"/>
    <x v="4"/>
    <n v="12"/>
    <n v="5000"/>
    <x v="84"/>
    <n v="46200"/>
    <n v="13800"/>
  </r>
  <r>
    <s v="ORD00943"/>
    <d v="2025-05-30T00:00:00"/>
    <x v="6"/>
    <x v="1"/>
    <x v="3"/>
    <x v="1"/>
    <x v="7"/>
    <n v="12"/>
    <n v="18000"/>
    <x v="146"/>
    <n v="162000"/>
    <n v="54000"/>
  </r>
  <r>
    <s v="ORD00944"/>
    <d v="2025-01-17T00:00:00"/>
    <x v="2"/>
    <x v="2"/>
    <x v="0"/>
    <x v="0"/>
    <x v="12"/>
    <n v="7"/>
    <n v="800"/>
    <x v="206"/>
    <n v="4368"/>
    <n v="1232"/>
  </r>
  <r>
    <s v="ORD00945"/>
    <d v="2025-12-02T00:00:00"/>
    <x v="1"/>
    <x v="9"/>
    <x v="1"/>
    <x v="1"/>
    <x v="1"/>
    <n v="16"/>
    <n v="15000"/>
    <x v="199"/>
    <n v="187200"/>
    <n v="52800"/>
  </r>
  <r>
    <s v="ORD00946"/>
    <d v="2025-09-02T00:00:00"/>
    <x v="0"/>
    <x v="5"/>
    <x v="2"/>
    <x v="2"/>
    <x v="2"/>
    <n v="1"/>
    <n v="45000"/>
    <x v="28"/>
    <n v="36900"/>
    <n v="8100"/>
  </r>
  <r>
    <s v="ORD00947"/>
    <d v="2025-06-03T00:00:00"/>
    <x v="5"/>
    <x v="1"/>
    <x v="1"/>
    <x v="1"/>
    <x v="1"/>
    <n v="5"/>
    <n v="15000"/>
    <x v="46"/>
    <n v="56250"/>
    <n v="18750"/>
  </r>
  <r>
    <s v="ORD00948"/>
    <d v="2025-10-31T00:00:00"/>
    <x v="4"/>
    <x v="2"/>
    <x v="1"/>
    <x v="0"/>
    <x v="8"/>
    <n v="16"/>
    <n v="250"/>
    <x v="103"/>
    <n v="3240"/>
    <n v="760"/>
  </r>
  <r>
    <s v="ORD00949"/>
    <d v="2025-09-18T00:00:00"/>
    <x v="0"/>
    <x v="2"/>
    <x v="3"/>
    <x v="0"/>
    <x v="8"/>
    <n v="16"/>
    <n v="250"/>
    <x v="103"/>
    <n v="3200"/>
    <n v="800"/>
  </r>
  <r>
    <s v="ORD00950"/>
    <d v="2025-07-13T00:00:00"/>
    <x v="11"/>
    <x v="4"/>
    <x v="1"/>
    <x v="2"/>
    <x v="5"/>
    <n v="14"/>
    <n v="25000"/>
    <x v="185"/>
    <n v="283500"/>
    <n v="66500"/>
  </r>
  <r>
    <s v="ORD00951"/>
    <d v="2025-04-10T00:00:00"/>
    <x v="9"/>
    <x v="2"/>
    <x v="0"/>
    <x v="0"/>
    <x v="12"/>
    <n v="12"/>
    <n v="800"/>
    <x v="166"/>
    <n v="7584"/>
    <n v="2016"/>
  </r>
  <r>
    <s v="ORD00952"/>
    <d v="2025-04-30T00:00:00"/>
    <x v="9"/>
    <x v="1"/>
    <x v="3"/>
    <x v="0"/>
    <x v="13"/>
    <n v="6"/>
    <n v="1200"/>
    <x v="27"/>
    <n v="5328"/>
    <n v="1872"/>
  </r>
  <r>
    <s v="ORD00953"/>
    <d v="2025-02-25T00:00:00"/>
    <x v="7"/>
    <x v="8"/>
    <x v="3"/>
    <x v="2"/>
    <x v="5"/>
    <n v="8"/>
    <n v="25000"/>
    <x v="96"/>
    <n v="144000"/>
    <n v="56000"/>
  </r>
  <r>
    <s v="ORD00954"/>
    <d v="2025-07-16T00:00:00"/>
    <x v="11"/>
    <x v="9"/>
    <x v="0"/>
    <x v="1"/>
    <x v="1"/>
    <n v="5"/>
    <n v="15000"/>
    <x v="46"/>
    <n v="60750.000000000007"/>
    <n v="14249.999999999993"/>
  </r>
  <r>
    <s v="ORD00955"/>
    <d v="2025-05-02T00:00:00"/>
    <x v="6"/>
    <x v="1"/>
    <x v="0"/>
    <x v="1"/>
    <x v="1"/>
    <n v="15"/>
    <n v="15000"/>
    <x v="174"/>
    <n v="168750"/>
    <n v="56250"/>
  </r>
  <r>
    <s v="ORD00956"/>
    <d v="2025-02-06T00:00:00"/>
    <x v="7"/>
    <x v="3"/>
    <x v="2"/>
    <x v="1"/>
    <x v="4"/>
    <n v="17"/>
    <n v="5000"/>
    <x v="118"/>
    <n v="66300"/>
    <n v="18700"/>
  </r>
  <r>
    <s v="ORD00957"/>
    <d v="2025-12-18T00:00:00"/>
    <x v="1"/>
    <x v="3"/>
    <x v="4"/>
    <x v="2"/>
    <x v="15"/>
    <n v="15"/>
    <n v="85000"/>
    <x v="69"/>
    <n v="930750"/>
    <n v="344250"/>
  </r>
  <r>
    <s v="ORD00958"/>
    <d v="2025-02-11T00:00:00"/>
    <x v="7"/>
    <x v="9"/>
    <x v="2"/>
    <x v="2"/>
    <x v="2"/>
    <n v="8"/>
    <n v="45000"/>
    <x v="34"/>
    <n v="273600"/>
    <n v="86400"/>
  </r>
  <r>
    <s v="ORD00959"/>
    <d v="2025-08-15T00:00:00"/>
    <x v="8"/>
    <x v="2"/>
    <x v="0"/>
    <x v="2"/>
    <x v="2"/>
    <n v="4"/>
    <n v="45000"/>
    <x v="1"/>
    <n v="149400"/>
    <n v="30600"/>
  </r>
  <r>
    <s v="ORD00960"/>
    <d v="2025-02-06T00:00:00"/>
    <x v="7"/>
    <x v="5"/>
    <x v="4"/>
    <x v="2"/>
    <x v="15"/>
    <n v="17"/>
    <n v="85000"/>
    <x v="116"/>
    <n v="1141550"/>
    <n v="303450"/>
  </r>
  <r>
    <s v="ORD00961"/>
    <d v="2025-06-21T00:00:00"/>
    <x v="5"/>
    <x v="9"/>
    <x v="0"/>
    <x v="1"/>
    <x v="7"/>
    <n v="1"/>
    <n v="18000"/>
    <x v="76"/>
    <n v="13860"/>
    <n v="4140"/>
  </r>
  <r>
    <s v="ORD00962"/>
    <d v="2025-08-27T00:00:00"/>
    <x v="8"/>
    <x v="9"/>
    <x v="2"/>
    <x v="0"/>
    <x v="12"/>
    <n v="19"/>
    <n v="800"/>
    <x v="219"/>
    <n v="11096"/>
    <n v="4104"/>
  </r>
  <r>
    <s v="ORD00963"/>
    <d v="2025-10-13T00:00:00"/>
    <x v="4"/>
    <x v="3"/>
    <x v="0"/>
    <x v="2"/>
    <x v="14"/>
    <n v="8"/>
    <n v="28000"/>
    <x v="179"/>
    <n v="161280"/>
    <n v="62720"/>
  </r>
  <r>
    <s v="ORD00964"/>
    <d v="2025-01-25T00:00:00"/>
    <x v="2"/>
    <x v="1"/>
    <x v="2"/>
    <x v="0"/>
    <x v="0"/>
    <n v="12"/>
    <n v="300"/>
    <x v="109"/>
    <n v="2880"/>
    <n v="720"/>
  </r>
  <r>
    <s v="ORD00965"/>
    <d v="2025-01-11T00:00:00"/>
    <x v="2"/>
    <x v="9"/>
    <x v="3"/>
    <x v="2"/>
    <x v="2"/>
    <n v="17"/>
    <n v="45000"/>
    <x v="3"/>
    <n v="589050"/>
    <n v="175950"/>
  </r>
  <r>
    <s v="ORD00966"/>
    <d v="2025-02-27T00:00:00"/>
    <x v="7"/>
    <x v="1"/>
    <x v="0"/>
    <x v="1"/>
    <x v="1"/>
    <n v="13"/>
    <n v="15000"/>
    <x v="170"/>
    <n v="150150"/>
    <n v="44850"/>
  </r>
  <r>
    <s v="ORD00967"/>
    <d v="2025-06-22T00:00:00"/>
    <x v="5"/>
    <x v="4"/>
    <x v="2"/>
    <x v="1"/>
    <x v="4"/>
    <n v="7"/>
    <n v="5000"/>
    <x v="18"/>
    <n v="29750"/>
    <n v="5250"/>
  </r>
  <r>
    <s v="ORD00968"/>
    <d v="2025-05-19T00:00:00"/>
    <x v="6"/>
    <x v="9"/>
    <x v="1"/>
    <x v="1"/>
    <x v="1"/>
    <n v="4"/>
    <n v="15000"/>
    <x v="84"/>
    <n v="51000"/>
    <n v="9000"/>
  </r>
  <r>
    <s v="ORD00969"/>
    <d v="2025-08-08T00:00:00"/>
    <x v="8"/>
    <x v="1"/>
    <x v="4"/>
    <x v="2"/>
    <x v="5"/>
    <n v="8"/>
    <n v="25000"/>
    <x v="96"/>
    <n v="156000"/>
    <n v="44000"/>
  </r>
  <r>
    <s v="ORD00970"/>
    <d v="2025-11-20T00:00:00"/>
    <x v="3"/>
    <x v="4"/>
    <x v="4"/>
    <x v="0"/>
    <x v="3"/>
    <n v="4"/>
    <n v="150"/>
    <x v="0"/>
    <n v="426"/>
    <n v="174"/>
  </r>
  <r>
    <s v="ORD00971"/>
    <d v="2025-07-03T00:00:00"/>
    <x v="11"/>
    <x v="0"/>
    <x v="0"/>
    <x v="1"/>
    <x v="1"/>
    <n v="19"/>
    <n v="15000"/>
    <x v="140"/>
    <n v="230850.00000000003"/>
    <n v="54149.999999999971"/>
  </r>
  <r>
    <s v="ORD00972"/>
    <d v="2025-10-10T00:00:00"/>
    <x v="4"/>
    <x v="3"/>
    <x v="2"/>
    <x v="2"/>
    <x v="5"/>
    <n v="8"/>
    <n v="25000"/>
    <x v="96"/>
    <n v="162000"/>
    <n v="38000"/>
  </r>
  <r>
    <s v="ORD00973"/>
    <d v="2025-12-11T00:00:00"/>
    <x v="1"/>
    <x v="4"/>
    <x v="4"/>
    <x v="2"/>
    <x v="14"/>
    <n v="1"/>
    <n v="28000"/>
    <x v="220"/>
    <n v="20160"/>
    <n v="7840"/>
  </r>
  <r>
    <s v="ORD00974"/>
    <d v="2025-11-06T00:00:00"/>
    <x v="3"/>
    <x v="5"/>
    <x v="4"/>
    <x v="0"/>
    <x v="8"/>
    <n v="7"/>
    <n v="250"/>
    <x v="17"/>
    <n v="1347.5"/>
    <n v="402.5"/>
  </r>
  <r>
    <s v="ORD00975"/>
    <d v="2025-12-16T00:00:00"/>
    <x v="1"/>
    <x v="0"/>
    <x v="1"/>
    <x v="2"/>
    <x v="16"/>
    <n v="5"/>
    <n v="1500"/>
    <x v="61"/>
    <n v="5925"/>
    <n v="1575"/>
  </r>
  <r>
    <s v="ORD00976"/>
    <d v="2025-01-23T00:00:00"/>
    <x v="2"/>
    <x v="4"/>
    <x v="4"/>
    <x v="2"/>
    <x v="5"/>
    <n v="10"/>
    <n v="25000"/>
    <x v="122"/>
    <n v="205000"/>
    <n v="45000"/>
  </r>
  <r>
    <s v="ORD00977"/>
    <d v="2025-04-05T00:00:00"/>
    <x v="9"/>
    <x v="8"/>
    <x v="2"/>
    <x v="1"/>
    <x v="9"/>
    <n v="10"/>
    <n v="22000"/>
    <x v="161"/>
    <n v="182600"/>
    <n v="37400"/>
  </r>
  <r>
    <s v="ORD00978"/>
    <d v="2025-02-25T00:00:00"/>
    <x v="7"/>
    <x v="8"/>
    <x v="1"/>
    <x v="2"/>
    <x v="2"/>
    <n v="3"/>
    <n v="45000"/>
    <x v="168"/>
    <n v="108000"/>
    <n v="27000"/>
  </r>
  <r>
    <s v="ORD00979"/>
    <d v="2025-04-03T00:00:00"/>
    <x v="9"/>
    <x v="7"/>
    <x v="1"/>
    <x v="1"/>
    <x v="4"/>
    <n v="7"/>
    <n v="5000"/>
    <x v="18"/>
    <n v="25550"/>
    <n v="9450"/>
  </r>
  <r>
    <s v="ORD00980"/>
    <d v="2025-02-02T00:00:00"/>
    <x v="7"/>
    <x v="3"/>
    <x v="1"/>
    <x v="2"/>
    <x v="2"/>
    <n v="6"/>
    <n v="45000"/>
    <x v="48"/>
    <n v="226800"/>
    <n v="43200"/>
  </r>
  <r>
    <s v="ORD00981"/>
    <d v="2025-03-29T00:00:00"/>
    <x v="10"/>
    <x v="0"/>
    <x v="0"/>
    <x v="1"/>
    <x v="9"/>
    <n v="20"/>
    <n v="22000"/>
    <x v="66"/>
    <n v="365200"/>
    <n v="74800"/>
  </r>
  <r>
    <s v="ORD00982"/>
    <d v="2025-03-05T00:00:00"/>
    <x v="10"/>
    <x v="8"/>
    <x v="0"/>
    <x v="2"/>
    <x v="5"/>
    <n v="11"/>
    <n v="25000"/>
    <x v="201"/>
    <n v="209000"/>
    <n v="66000"/>
  </r>
  <r>
    <s v="ORD00983"/>
    <d v="2025-02-14T00:00:00"/>
    <x v="7"/>
    <x v="8"/>
    <x v="2"/>
    <x v="0"/>
    <x v="0"/>
    <n v="10"/>
    <n v="300"/>
    <x v="68"/>
    <n v="2160"/>
    <n v="840"/>
  </r>
  <r>
    <s v="ORD00984"/>
    <d v="2025-02-07T00:00:00"/>
    <x v="7"/>
    <x v="5"/>
    <x v="1"/>
    <x v="0"/>
    <x v="8"/>
    <n v="4"/>
    <n v="250"/>
    <x v="13"/>
    <n v="840"/>
    <n v="160"/>
  </r>
  <r>
    <s v="ORD00985"/>
    <d v="2025-09-05T00:00:00"/>
    <x v="0"/>
    <x v="9"/>
    <x v="4"/>
    <x v="1"/>
    <x v="4"/>
    <n v="18"/>
    <n v="5000"/>
    <x v="5"/>
    <n v="72000"/>
    <n v="18000"/>
  </r>
  <r>
    <s v="ORD00986"/>
    <d v="2025-11-10T00:00:00"/>
    <x v="3"/>
    <x v="9"/>
    <x v="0"/>
    <x v="2"/>
    <x v="15"/>
    <n v="2"/>
    <n v="85000"/>
    <x v="196"/>
    <n v="129200"/>
    <n v="40800"/>
  </r>
  <r>
    <s v="ORD00987"/>
    <d v="2025-10-17T00:00:00"/>
    <x v="4"/>
    <x v="4"/>
    <x v="2"/>
    <x v="0"/>
    <x v="8"/>
    <n v="7"/>
    <n v="250"/>
    <x v="17"/>
    <n v="1242.5"/>
    <n v="507.5"/>
  </r>
  <r>
    <s v="ORD00988"/>
    <d v="2025-04-13T00:00:00"/>
    <x v="9"/>
    <x v="5"/>
    <x v="0"/>
    <x v="1"/>
    <x v="9"/>
    <n v="8"/>
    <n v="22000"/>
    <x v="176"/>
    <n v="126720"/>
    <n v="49280"/>
  </r>
  <r>
    <s v="ORD00989"/>
    <d v="2025-09-12T00:00:00"/>
    <x v="0"/>
    <x v="8"/>
    <x v="4"/>
    <x v="2"/>
    <x v="6"/>
    <n v="11"/>
    <n v="35000"/>
    <x v="149"/>
    <n v="323400"/>
    <n v="61600"/>
  </r>
  <r>
    <s v="ORD00990"/>
    <d v="2025-06-13T00:00:00"/>
    <x v="5"/>
    <x v="9"/>
    <x v="2"/>
    <x v="1"/>
    <x v="4"/>
    <n v="8"/>
    <n v="5000"/>
    <x v="82"/>
    <n v="32400.000000000004"/>
    <n v="7599.9999999999964"/>
  </r>
  <r>
    <s v="ORD00991"/>
    <d v="2025-09-10T00:00:00"/>
    <x v="0"/>
    <x v="5"/>
    <x v="1"/>
    <x v="2"/>
    <x v="15"/>
    <n v="8"/>
    <n v="85000"/>
    <x v="136"/>
    <n v="530400"/>
    <n v="149600"/>
  </r>
  <r>
    <s v="ORD00992"/>
    <d v="2025-04-27T00:00:00"/>
    <x v="9"/>
    <x v="8"/>
    <x v="1"/>
    <x v="0"/>
    <x v="0"/>
    <n v="13"/>
    <n v="300"/>
    <x v="123"/>
    <n v="2769"/>
    <n v="1131"/>
  </r>
  <r>
    <s v="ORD00993"/>
    <d v="2025-12-18T00:00:00"/>
    <x v="1"/>
    <x v="8"/>
    <x v="4"/>
    <x v="0"/>
    <x v="8"/>
    <n v="10"/>
    <n v="250"/>
    <x v="100"/>
    <n v="1800"/>
    <n v="700"/>
  </r>
  <r>
    <s v="ORD00994"/>
    <d v="2025-12-31T00:00:00"/>
    <x v="1"/>
    <x v="4"/>
    <x v="0"/>
    <x v="0"/>
    <x v="13"/>
    <n v="13"/>
    <n v="1200"/>
    <x v="171"/>
    <n v="11856"/>
    <n v="3744"/>
  </r>
  <r>
    <s v="ORD00995"/>
    <d v="2025-10-12T00:00:00"/>
    <x v="4"/>
    <x v="6"/>
    <x v="0"/>
    <x v="0"/>
    <x v="0"/>
    <n v="5"/>
    <n v="300"/>
    <x v="92"/>
    <n v="1275"/>
    <n v="225"/>
  </r>
  <r>
    <s v="ORD00996"/>
    <d v="2025-05-30T00:00:00"/>
    <x v="6"/>
    <x v="5"/>
    <x v="0"/>
    <x v="1"/>
    <x v="11"/>
    <n v="6"/>
    <n v="12000"/>
    <x v="132"/>
    <n v="58320.000000000007"/>
    <n v="13679.999999999993"/>
  </r>
  <r>
    <s v="ORD00997"/>
    <d v="2025-07-24T00:00:00"/>
    <x v="11"/>
    <x v="8"/>
    <x v="3"/>
    <x v="0"/>
    <x v="3"/>
    <n v="7"/>
    <n v="150"/>
    <x v="39"/>
    <n v="850.5"/>
    <n v="199.5"/>
  </r>
  <r>
    <s v="ORD00998"/>
    <d v="2025-03-02T00:00:00"/>
    <x v="10"/>
    <x v="2"/>
    <x v="0"/>
    <x v="2"/>
    <x v="15"/>
    <n v="10"/>
    <n v="85000"/>
    <x v="165"/>
    <n v="629000"/>
    <n v="221000"/>
  </r>
  <r>
    <s v="ORD00999"/>
    <d v="2025-08-23T00:00:00"/>
    <x v="8"/>
    <x v="6"/>
    <x v="4"/>
    <x v="2"/>
    <x v="10"/>
    <n v="10"/>
    <n v="2500"/>
    <x v="190"/>
    <n v="17750"/>
    <n v="7250"/>
  </r>
  <r>
    <s v="ORD01000"/>
    <d v="2025-04-30T00:00:00"/>
    <x v="9"/>
    <x v="9"/>
    <x v="1"/>
    <x v="0"/>
    <x v="13"/>
    <n v="13"/>
    <n v="1200"/>
    <x v="171"/>
    <n v="11700"/>
    <n v="3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2730A7-0A45-44C8-A824-2BC6205F8D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2">
    <pivotField showAll="0"/>
    <pivotField numFmtId="164" showAll="0"/>
    <pivotField showAll="0">
      <items count="13">
        <item x="2"/>
        <item x="7"/>
        <item x="10"/>
        <item x="9"/>
        <item x="6"/>
        <item x="5"/>
        <item x="11"/>
        <item x="8"/>
        <item x="0"/>
        <item x="4"/>
        <item x="3"/>
        <item x="1"/>
        <item t="default"/>
      </items>
    </pivotField>
    <pivotField showAll="0">
      <items count="11">
        <item x="8"/>
        <item x="2"/>
        <item x="3"/>
        <item x="0"/>
        <item x="1"/>
        <item x="5"/>
        <item x="7"/>
        <item x="9"/>
        <item x="4"/>
        <item x="6"/>
        <item t="default"/>
      </items>
    </pivotField>
    <pivotField axis="axisRow" showAll="0" sortType="descending">
      <items count="6">
        <item x="2"/>
        <item x="1"/>
        <item x="3"/>
        <item x="0"/>
        <item x="4"/>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dataField="1" showAll="0"/>
    <pivotField showAll="0"/>
    <pivotField showAll="0"/>
  </pivotFields>
  <rowFields count="1">
    <field x="4"/>
  </rowFields>
  <rowItems count="6">
    <i>
      <x v="4"/>
    </i>
    <i>
      <x v="3"/>
    </i>
    <i>
      <x v="1"/>
    </i>
    <i>
      <x/>
    </i>
    <i>
      <x v="2"/>
    </i>
    <i t="grand">
      <x/>
    </i>
  </rowItems>
  <colItems count="1">
    <i/>
  </colItems>
  <dataFields count="1">
    <dataField name="Sales by Region" fld="9" baseField="0" baseItem="0" numFmtId="167"/>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3E74E-022E-42FC-AB02-16ED439D4C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2">
    <pivotField showAll="0"/>
    <pivotField numFmtId="164" showAll="0"/>
    <pivotField showAll="0">
      <items count="13">
        <item x="2"/>
        <item x="7"/>
        <item x="10"/>
        <item x="9"/>
        <item x="6"/>
        <item x="5"/>
        <item x="11"/>
        <item x="8"/>
        <item x="0"/>
        <item x="4"/>
        <item x="3"/>
        <item x="1"/>
        <item t="default"/>
      </items>
    </pivotField>
    <pivotField showAll="0">
      <items count="11">
        <item x="8"/>
        <item x="2"/>
        <item x="3"/>
        <item x="0"/>
        <item x="1"/>
        <item x="5"/>
        <item x="7"/>
        <item x="9"/>
        <item x="4"/>
        <item x="6"/>
        <item t="default"/>
      </items>
    </pivotField>
    <pivotField axis="axisRow" showAll="0" sortType="descending">
      <items count="6">
        <item x="2"/>
        <item x="1"/>
        <item x="3"/>
        <item x="0"/>
        <item x="4"/>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dataField="1" showAll="0"/>
  </pivotFields>
  <rowFields count="1">
    <field x="4"/>
  </rowFields>
  <rowItems count="6">
    <i>
      <x v="4"/>
    </i>
    <i>
      <x v="3"/>
    </i>
    <i>
      <x v="1"/>
    </i>
    <i>
      <x/>
    </i>
    <i>
      <x v="2"/>
    </i>
    <i t="grand">
      <x/>
    </i>
  </rowItems>
  <colItems count="1">
    <i/>
  </colItems>
  <dataFields count="1">
    <dataField name="Profit by Region" fld="11" baseField="4" baseItem="4" numFmtId="167"/>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930C3-15A0-4CA1-AC7D-8BF309E40A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12">
    <pivotField showAll="0"/>
    <pivotField numFmtId="164" showAll="0"/>
    <pivotField showAll="0">
      <items count="13">
        <item x="2"/>
        <item x="7"/>
        <item x="10"/>
        <item x="9"/>
        <item x="6"/>
        <item x="5"/>
        <item x="11"/>
        <item x="8"/>
        <item x="0"/>
        <item x="4"/>
        <item x="3"/>
        <item x="1"/>
        <item t="default"/>
      </items>
    </pivotField>
    <pivotField showAll="0">
      <items count="11">
        <item x="8"/>
        <item x="2"/>
        <item x="3"/>
        <item x="0"/>
        <item x="1"/>
        <item x="5"/>
        <item x="7"/>
        <item x="9"/>
        <item x="4"/>
        <item x="6"/>
        <item t="default"/>
      </items>
    </pivotField>
    <pivotField showAll="0">
      <items count="6">
        <item x="2"/>
        <item x="1"/>
        <item x="3"/>
        <item x="0"/>
        <item x="4"/>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s" fld="9" baseField="0" baseItem="0" numFmtId="166"/>
  </dataFields>
  <formats count="1">
    <format dxfId="7">
      <pivotArea outline="0" collapsedLevelsAreSubtotals="1" fieldPosition="0"/>
    </format>
  </formats>
  <chartFormats count="8">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5" count="1" selected="0">
            <x v="0"/>
          </reference>
        </references>
      </pivotArea>
    </chartFormat>
    <chartFormat chart="27" format="7">
      <pivotArea type="data" outline="0" fieldPosition="0">
        <references count="2">
          <reference field="4294967294" count="1" selected="0">
            <x v="0"/>
          </reference>
          <reference field="5" count="1" selected="0">
            <x v="1"/>
          </reference>
        </references>
      </pivotArea>
    </chartFormat>
    <chartFormat chart="27" format="8">
      <pivotArea type="data" outline="0" fieldPosition="0">
        <references count="2">
          <reference field="4294967294" count="1" selected="0">
            <x v="0"/>
          </reference>
          <reference field="5" count="1" selected="0">
            <x v="2"/>
          </reference>
        </references>
      </pivotArea>
    </chartFormat>
    <chartFormat chart="25" format="1">
      <pivotArea type="data" outline="0" fieldPosition="0">
        <references count="2">
          <reference field="4294967294" count="1" selected="0">
            <x v="0"/>
          </reference>
          <reference field="5" count="1" selected="0">
            <x v="1"/>
          </reference>
        </references>
      </pivotArea>
    </chartFormat>
    <chartFormat chart="25" format="2">
      <pivotArea type="data" outline="0" fieldPosition="0">
        <references count="2">
          <reference field="4294967294" count="1" selected="0">
            <x v="0"/>
          </reference>
          <reference field="5" count="1" selected="0">
            <x v="2"/>
          </reference>
        </references>
      </pivotArea>
    </chartFormat>
    <chartFormat chart="25"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8E59E-30A5-4D19-BD53-5347DCACAF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2">
    <pivotField showAll="0"/>
    <pivotField numFmtId="164" showAll="0"/>
    <pivotField axis="axisRow" showAll="0" sortType="ascending">
      <items count="13">
        <item x="2"/>
        <item x="7"/>
        <item x="10"/>
        <item x="9"/>
        <item x="6"/>
        <item x="5"/>
        <item x="11"/>
        <item x="8"/>
        <item x="0"/>
        <item x="4"/>
        <item x="3"/>
        <item x="1"/>
        <item t="default"/>
      </items>
    </pivotField>
    <pivotField showAll="0">
      <items count="11">
        <item x="8"/>
        <item x="2"/>
        <item x="3"/>
        <item x="0"/>
        <item x="1"/>
        <item x="5"/>
        <item x="7"/>
        <item x="9"/>
        <item x="4"/>
        <item x="6"/>
        <item t="default"/>
      </items>
    </pivotField>
    <pivotField showAll="0">
      <items count="6">
        <item x="2"/>
        <item x="1"/>
        <item x="3"/>
        <item x="0"/>
        <item x="4"/>
        <item t="default"/>
      </items>
    </pivotField>
    <pivotField showAll="0">
      <items count="4">
        <item x="2"/>
        <item x="1"/>
        <item x="0"/>
        <item t="default"/>
      </items>
    </pivotField>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9" baseField="0" baseItem="0" numFmtId="167"/>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202D31-4F06-453D-B4D0-2989F052E8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4" firstHeaderRow="0" firstDataRow="1" firstDataCol="1"/>
  <pivotFields count="12">
    <pivotField showAll="0"/>
    <pivotField numFmtId="164" showAll="0"/>
    <pivotField showAll="0">
      <items count="13">
        <item x="2"/>
        <item x="7"/>
        <item x="10"/>
        <item x="9"/>
        <item x="6"/>
        <item x="5"/>
        <item x="11"/>
        <item x="8"/>
        <item x="0"/>
        <item x="4"/>
        <item x="3"/>
        <item x="1"/>
        <item t="default"/>
      </items>
    </pivotField>
    <pivotField axis="axisRow" showAll="0">
      <items count="11">
        <item x="8"/>
        <item x="2"/>
        <item x="3"/>
        <item x="0"/>
        <item x="1"/>
        <item x="5"/>
        <item x="7"/>
        <item x="9"/>
        <item x="4"/>
        <item x="6"/>
        <item t="default"/>
      </items>
    </pivotField>
    <pivotField showAll="0">
      <items count="6">
        <item x="2"/>
        <item x="1"/>
        <item x="3"/>
        <item x="0"/>
        <item x="4"/>
        <item t="default"/>
      </items>
    </pivotField>
    <pivotField showAll="0">
      <items count="4">
        <item x="2"/>
        <item x="1"/>
        <item x="0"/>
        <item t="default"/>
      </items>
    </pivotField>
    <pivotField showAll="0"/>
    <pivotField showAll="0"/>
    <pivotField showAll="0"/>
    <pivotField dataField="1" showAll="0"/>
    <pivotField showAll="0"/>
    <pivotField dataField="1"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Sales" fld="9" baseField="0" baseItem="0"/>
    <dataField name="Sum of Profit" fld="11" baseField="0" baseItem="0"/>
  </dataFields>
  <formats count="3">
    <format dxfId="5">
      <pivotArea collapsedLevelsAreSubtotals="1" fieldPosition="0">
        <references count="2">
          <reference field="4294967294" count="1" selected="0">
            <x v="1"/>
          </reference>
          <reference field="3" count="0"/>
        </references>
      </pivotArea>
    </format>
    <format dxfId="4">
      <pivotArea outline="0" collapsedLevelsAreSubtotals="1" fieldPosition="0"/>
    </format>
    <format dxfId="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6A2B3-EA08-4BB1-8DA2-402F71D2325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2">
    <pivotField showAll="0"/>
    <pivotField numFmtId="164" showAll="0"/>
    <pivotField showAll="0">
      <items count="13">
        <item x="2"/>
        <item x="7"/>
        <item x="10"/>
        <item x="9"/>
        <item x="6"/>
        <item x="5"/>
        <item x="11"/>
        <item x="8"/>
        <item x="0"/>
        <item x="4"/>
        <item x="3"/>
        <item x="1"/>
        <item t="default"/>
      </items>
    </pivotField>
    <pivotField showAll="0">
      <items count="11">
        <item x="8"/>
        <item x="2"/>
        <item x="3"/>
        <item x="0"/>
        <item x="1"/>
        <item x="5"/>
        <item x="7"/>
        <item x="9"/>
        <item x="4"/>
        <item x="6"/>
        <item t="default"/>
      </items>
    </pivotField>
    <pivotField showAll="0">
      <items count="6">
        <item x="2"/>
        <item x="1"/>
        <item x="3"/>
        <item x="0"/>
        <item x="4"/>
        <item t="default"/>
      </items>
    </pivotField>
    <pivotField showAll="0">
      <items count="4">
        <item x="2"/>
        <item x="1"/>
        <item x="0"/>
        <item t="default"/>
      </items>
    </pivotField>
    <pivotField axis="axisRow" showAll="0" measureFilter="1" sortType="ascending">
      <items count="18">
        <item x="1"/>
        <item x="7"/>
        <item x="4"/>
        <item x="11"/>
        <item x="0"/>
        <item x="10"/>
        <item x="15"/>
        <item x="14"/>
        <item x="16"/>
        <item x="8"/>
        <item x="9"/>
        <item x="12"/>
        <item x="3"/>
        <item x="6"/>
        <item x="5"/>
        <item x="1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6"/>
  </rowFields>
  <rowItems count="11">
    <i>
      <x v="2"/>
    </i>
    <i>
      <x v="3"/>
    </i>
    <i>
      <x v="1"/>
    </i>
    <i>
      <x/>
    </i>
    <i>
      <x v="7"/>
    </i>
    <i>
      <x v="13"/>
    </i>
    <i>
      <x v="14"/>
    </i>
    <i>
      <x v="10"/>
    </i>
    <i>
      <x v="16"/>
    </i>
    <i>
      <x v="6"/>
    </i>
    <i t="grand">
      <x/>
    </i>
  </rowItems>
  <colItems count="1">
    <i/>
  </colItems>
  <dataFields count="1">
    <dataField name="Sum of Sales" fld="9" baseField="0" baseItem="0" numFmtId="167"/>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01BDE39-E1A2-4A8B-80D1-D846FB9CB241}" sourceName="Month">
  <pivotTables>
    <pivotTable tabId="6" name="PivotTable3"/>
    <pivotTable tabId="8" name="PivotTable5"/>
    <pivotTable tabId="7" name="PivotTable4"/>
    <pivotTable tabId="9" name="PivotTable6"/>
    <pivotTable tabId="12" name="PivotTable8"/>
    <pivotTable tabId="4" name="PivotTable1"/>
  </pivotTables>
  <data>
    <tabular pivotCacheId="1354468967">
      <items count="12">
        <i x="2" s="1"/>
        <i x="7" s="1"/>
        <i x="10" s="1"/>
        <i x="9" s="1"/>
        <i x="6" s="1"/>
        <i x="5" s="1"/>
        <i x="11" s="1"/>
        <i x="8" s="1"/>
        <i x="0"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C4D79BF-B4D6-4738-B112-FBFA25BC2492}" sourceName="Salesperson">
  <pivotTables>
    <pivotTable tabId="6" name="PivotTable3"/>
    <pivotTable tabId="8" name="PivotTable5"/>
    <pivotTable tabId="7" name="PivotTable4"/>
    <pivotTable tabId="9" name="PivotTable6"/>
    <pivotTable tabId="12" name="PivotTable8"/>
    <pivotTable tabId="4" name="PivotTable1"/>
  </pivotTables>
  <data>
    <tabular pivotCacheId="1354468967">
      <items count="10">
        <i x="8" s="1"/>
        <i x="2" s="1"/>
        <i x="3" s="1"/>
        <i x="0" s="1"/>
        <i x="1" s="1"/>
        <i x="5" s="1"/>
        <i x="7" s="1"/>
        <i x="9"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C1C555-41FF-4A98-A62C-29B22BEFAF88}" sourceName="Region">
  <pivotTables>
    <pivotTable tabId="6" name="PivotTable3"/>
    <pivotTable tabId="8" name="PivotTable5"/>
    <pivotTable tabId="7" name="PivotTable4"/>
    <pivotTable tabId="9" name="PivotTable6"/>
    <pivotTable tabId="12" name="PivotTable8"/>
    <pivotTable tabId="4" name="PivotTable1"/>
  </pivotTables>
  <data>
    <tabular pivotCacheId="1354468967">
      <items count="5">
        <i x="2" s="1"/>
        <i x="1"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2D094C-C1F5-40BA-8BB9-8C565B9F3DAC}" sourceName="Category">
  <pivotTables>
    <pivotTable tabId="6" name="PivotTable3"/>
    <pivotTable tabId="8" name="PivotTable5"/>
    <pivotTable tabId="7" name="PivotTable4"/>
    <pivotTable tabId="9" name="PivotTable6"/>
    <pivotTable tabId="12" name="PivotTable8"/>
    <pivotTable tabId="4" name="PivotTable1"/>
  </pivotTables>
  <data>
    <tabular pivotCacheId="135446896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E4EFCFD-8E6A-484C-8734-13385D8EA100}" cache="Slicer_Month" caption="Month" rowHeight="234950"/>
  <slicer name="Salesperson" xr10:uid="{DAE03543-B893-4E56-93D6-D92D4068CDF2}" cache="Slicer_Salesperson" caption="Salesperson" rowHeight="234950"/>
  <slicer name="Region" xr10:uid="{946E5471-3D78-4772-BBCE-56BD1A0ECFD1}" cache="Slicer_Region" caption="Region" rowHeight="234950"/>
  <slicer name="Category" xr10:uid="{90D1FBF9-48B4-4053-911F-DB5AE66E3528}"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449C38A-C5AF-4860-ADA0-515A0D49ABB0}" cache="Slicer_Month" caption="Month" rowHeight="234950"/>
  <slicer name="Salesperson 1" xr10:uid="{D90754C4-E1DF-4E6A-92AE-3BCBE8D06937}" cache="Slicer_Salesperson" caption="Salesperson" rowHeight="234950"/>
  <slicer name="Region 1" xr10:uid="{8CD8632C-94D8-43E4-B2D0-6F40E216919C}" cache="Slicer_Region" caption="Region" rowHeight="234950"/>
  <slicer name="Category 1" xr10:uid="{6106FA3D-C390-4FED-AF3B-D768F76E465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12D56-2DDA-4D7E-B9D1-551FA4EB0845}" name="SalesData" displayName="SalesData" ref="A1:L1001" totalsRowShown="0" headerRowDxfId="1">
  <autoFilter ref="A1:L1001" xr:uid="{CEB12D56-2DDA-4D7E-B9D1-551FA4EB0845}"/>
  <tableColumns count="12">
    <tableColumn id="1" xr3:uid="{9C5DACA6-A864-49D0-9FE5-5EB9EC5AAA5A}" name="Order ID"/>
    <tableColumn id="2" xr3:uid="{440F3CE2-E00C-4A1C-962F-30BEFEF9383F}" name="Date" dataDxfId="0"/>
    <tableColumn id="3" xr3:uid="{C3ED6CF5-F9CF-45A3-89B7-CDDD31C63203}" name="Month"/>
    <tableColumn id="4" xr3:uid="{1FEA0171-BA0D-4CAD-996E-CCD79C455B8B}" name="Salesperson"/>
    <tableColumn id="5" xr3:uid="{E1391FC4-78C5-4C48-BACD-9123ED9CAFB4}" name="Region"/>
    <tableColumn id="6" xr3:uid="{04F126C8-A3B8-4443-A273-5DF73B1B1624}" name="Category"/>
    <tableColumn id="7" xr3:uid="{342572FF-BA2E-4FA2-BB93-2D8986CD361F}" name="Product"/>
    <tableColumn id="8" xr3:uid="{E431E76F-9CC6-418C-9ADC-1054A456F7D2}" name="Units Sold"/>
    <tableColumn id="9" xr3:uid="{42E819DA-B6F6-4944-A945-2BA62AAE683A}" name="Unit Price"/>
    <tableColumn id="10" xr3:uid="{079BD74F-4026-4B9A-8F90-B0C9C4E09729}" name="Sales">
      <calculatedColumnFormula>H2*I2</calculatedColumnFormula>
    </tableColumn>
    <tableColumn id="11" xr3:uid="{D45C288A-6FA6-401B-99EF-517BBDCC503A}" name="Cost"/>
    <tableColumn id="12" xr3:uid="{2E4B31FA-5E56-45D4-BDA2-46E8F6E9ECB8}" name="Profit">
      <calculatedColumnFormula>J2-K2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12E8-D58A-4821-A918-C7793BB04A3F}">
  <dimension ref="A3:B9"/>
  <sheetViews>
    <sheetView workbookViewId="0">
      <selection activeCell="G14" sqref="G14"/>
    </sheetView>
  </sheetViews>
  <sheetFormatPr defaultRowHeight="14.4" x14ac:dyDescent="0.3"/>
  <cols>
    <col min="1" max="1" width="12.5546875" bestFit="1" customWidth="1"/>
    <col min="2" max="2" width="14.6640625" bestFit="1" customWidth="1"/>
  </cols>
  <sheetData>
    <row r="3" spans="1:2" x14ac:dyDescent="0.3">
      <c r="A3" s="5" t="s">
        <v>1067</v>
      </c>
      <c r="B3" t="s">
        <v>1070</v>
      </c>
    </row>
    <row r="4" spans="1:2" x14ac:dyDescent="0.3">
      <c r="A4" s="6" t="s">
        <v>46</v>
      </c>
      <c r="B4" s="7">
        <v>42735850</v>
      </c>
    </row>
    <row r="5" spans="1:2" x14ac:dyDescent="0.3">
      <c r="A5" s="6" t="s">
        <v>15</v>
      </c>
      <c r="B5" s="7">
        <v>37093050</v>
      </c>
    </row>
    <row r="6" spans="1:2" x14ac:dyDescent="0.3">
      <c r="A6" s="6" t="s">
        <v>20</v>
      </c>
      <c r="B6" s="7">
        <v>35931850</v>
      </c>
    </row>
    <row r="7" spans="1:2" x14ac:dyDescent="0.3">
      <c r="A7" s="6" t="s">
        <v>30</v>
      </c>
      <c r="B7" s="7">
        <v>30719700</v>
      </c>
    </row>
    <row r="8" spans="1:2" x14ac:dyDescent="0.3">
      <c r="A8" s="6" t="s">
        <v>35</v>
      </c>
      <c r="B8" s="7">
        <v>29211850</v>
      </c>
    </row>
    <row r="9" spans="1:2" x14ac:dyDescent="0.3">
      <c r="A9" s="6" t="s">
        <v>1068</v>
      </c>
      <c r="B9" s="7">
        <v>175692300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1FD9-524C-499E-8509-972D7F3FB295}">
  <dimension ref="A3:B9"/>
  <sheetViews>
    <sheetView workbookViewId="0">
      <selection activeCell="A6" sqref="A6"/>
    </sheetView>
  </sheetViews>
  <sheetFormatPr defaultRowHeight="14.4" x14ac:dyDescent="0.3"/>
  <cols>
    <col min="1" max="1" width="12.5546875" bestFit="1" customWidth="1"/>
    <col min="2" max="2" width="14.5546875" bestFit="1" customWidth="1"/>
  </cols>
  <sheetData>
    <row r="3" spans="1:2" x14ac:dyDescent="0.3">
      <c r="A3" s="5" t="s">
        <v>1067</v>
      </c>
      <c r="B3" t="s">
        <v>1072</v>
      </c>
    </row>
    <row r="4" spans="1:2" x14ac:dyDescent="0.3">
      <c r="A4" s="6" t="s">
        <v>46</v>
      </c>
      <c r="B4" s="7">
        <v>9649164.5</v>
      </c>
    </row>
    <row r="5" spans="1:2" x14ac:dyDescent="0.3">
      <c r="A5" s="6" t="s">
        <v>15</v>
      </c>
      <c r="B5" s="7">
        <v>8536913.5</v>
      </c>
    </row>
    <row r="6" spans="1:2" x14ac:dyDescent="0.3">
      <c r="A6" s="6" t="s">
        <v>20</v>
      </c>
      <c r="B6" s="7">
        <v>7556682.5</v>
      </c>
    </row>
    <row r="7" spans="1:2" x14ac:dyDescent="0.3">
      <c r="A7" s="6" t="s">
        <v>30</v>
      </c>
      <c r="B7" s="7">
        <v>6747521.5</v>
      </c>
    </row>
    <row r="8" spans="1:2" x14ac:dyDescent="0.3">
      <c r="A8" s="6" t="s">
        <v>35</v>
      </c>
      <c r="B8" s="7">
        <v>6558482</v>
      </c>
    </row>
    <row r="9" spans="1:2" x14ac:dyDescent="0.3">
      <c r="A9" s="6" t="s">
        <v>1068</v>
      </c>
      <c r="B9" s="7">
        <v>39048764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340E-F65B-46BA-A17E-0B29DF3234F5}">
  <dimension ref="A3:B7"/>
  <sheetViews>
    <sheetView workbookViewId="0">
      <selection activeCell="G11" sqref="G11"/>
    </sheetView>
  </sheetViews>
  <sheetFormatPr defaultRowHeight="14.4" x14ac:dyDescent="0.3"/>
  <cols>
    <col min="1" max="1" width="13.109375" bestFit="1" customWidth="1"/>
    <col min="2" max="2" width="17.33203125" bestFit="1" customWidth="1"/>
  </cols>
  <sheetData>
    <row r="3" spans="1:2" x14ac:dyDescent="0.3">
      <c r="A3" s="5" t="s">
        <v>1067</v>
      </c>
      <c r="B3" t="s">
        <v>1069</v>
      </c>
    </row>
    <row r="4" spans="1:2" x14ac:dyDescent="0.3">
      <c r="A4" s="6" t="s">
        <v>26</v>
      </c>
      <c r="B4" s="4">
        <v>125141000</v>
      </c>
    </row>
    <row r="5" spans="1:2" x14ac:dyDescent="0.3">
      <c r="A5" s="6" t="s">
        <v>21</v>
      </c>
      <c r="B5" s="4">
        <v>48679000</v>
      </c>
    </row>
    <row r="6" spans="1:2" x14ac:dyDescent="0.3">
      <c r="A6" s="6" t="s">
        <v>16</v>
      </c>
      <c r="B6" s="4">
        <v>1872300</v>
      </c>
    </row>
    <row r="7" spans="1:2" x14ac:dyDescent="0.3">
      <c r="A7" s="6" t="s">
        <v>1068</v>
      </c>
      <c r="B7" s="4">
        <v>175692300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3DAD-E96D-4B9F-888F-712BFCD3096B}">
  <dimension ref="A2:B16"/>
  <sheetViews>
    <sheetView workbookViewId="0">
      <selection activeCell="B6" sqref="B6"/>
    </sheetView>
  </sheetViews>
  <sheetFormatPr defaultRowHeight="14.4" x14ac:dyDescent="0.3"/>
  <cols>
    <col min="1" max="1" width="12.5546875" bestFit="1" customWidth="1"/>
    <col min="2" max="2" width="14.6640625" bestFit="1" customWidth="1"/>
  </cols>
  <sheetData>
    <row r="2" spans="1:2" x14ac:dyDescent="0.3">
      <c r="B2" s="3"/>
    </row>
    <row r="3" spans="1:2" x14ac:dyDescent="0.3">
      <c r="A3" s="5" t="s">
        <v>1067</v>
      </c>
      <c r="B3" t="s">
        <v>1069</v>
      </c>
    </row>
    <row r="4" spans="1:2" x14ac:dyDescent="0.3">
      <c r="A4" s="6" t="s">
        <v>29</v>
      </c>
      <c r="B4" s="7">
        <v>11491350</v>
      </c>
    </row>
    <row r="5" spans="1:2" x14ac:dyDescent="0.3">
      <c r="A5" s="6" t="s">
        <v>50</v>
      </c>
      <c r="B5" s="7">
        <v>18100300</v>
      </c>
    </row>
    <row r="6" spans="1:2" x14ac:dyDescent="0.3">
      <c r="A6" s="6" t="s">
        <v>63</v>
      </c>
      <c r="B6" s="7">
        <v>20410450</v>
      </c>
    </row>
    <row r="7" spans="1:2" x14ac:dyDescent="0.3">
      <c r="A7" s="6" t="s">
        <v>59</v>
      </c>
      <c r="B7" s="7">
        <v>16922700</v>
      </c>
    </row>
    <row r="8" spans="1:2" x14ac:dyDescent="0.3">
      <c r="A8" s="6" t="s">
        <v>48</v>
      </c>
      <c r="B8" s="7">
        <v>12746600</v>
      </c>
    </row>
    <row r="9" spans="1:2" x14ac:dyDescent="0.3">
      <c r="A9" s="6" t="s">
        <v>43</v>
      </c>
      <c r="B9" s="7">
        <v>11443850</v>
      </c>
    </row>
    <row r="10" spans="1:2" x14ac:dyDescent="0.3">
      <c r="A10" s="6" t="s">
        <v>76</v>
      </c>
      <c r="B10" s="7">
        <v>13663200</v>
      </c>
    </row>
    <row r="11" spans="1:2" x14ac:dyDescent="0.3">
      <c r="A11" s="6" t="s">
        <v>57</v>
      </c>
      <c r="B11" s="7">
        <v>11731300</v>
      </c>
    </row>
    <row r="12" spans="1:2" x14ac:dyDescent="0.3">
      <c r="A12" s="6" t="s">
        <v>13</v>
      </c>
      <c r="B12" s="7">
        <v>16136100</v>
      </c>
    </row>
    <row r="13" spans="1:2" x14ac:dyDescent="0.3">
      <c r="A13" s="6" t="s">
        <v>38</v>
      </c>
      <c r="B13" s="7">
        <v>12626850</v>
      </c>
    </row>
    <row r="14" spans="1:2" x14ac:dyDescent="0.3">
      <c r="A14" s="6" t="s">
        <v>32</v>
      </c>
      <c r="B14" s="7">
        <v>14454750</v>
      </c>
    </row>
    <row r="15" spans="1:2" x14ac:dyDescent="0.3">
      <c r="A15" s="6" t="s">
        <v>24</v>
      </c>
      <c r="B15" s="7">
        <v>15964850</v>
      </c>
    </row>
    <row r="16" spans="1:2" x14ac:dyDescent="0.3">
      <c r="A16" s="6" t="s">
        <v>1068</v>
      </c>
      <c r="B16" s="7">
        <v>175692300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F7510-5D28-474B-A0EF-C11BC8E21A44}">
  <dimension ref="A3:C14"/>
  <sheetViews>
    <sheetView topLeftCell="A4" workbookViewId="0">
      <selection activeCell="H26" sqref="H26"/>
    </sheetView>
  </sheetViews>
  <sheetFormatPr defaultRowHeight="14.4" x14ac:dyDescent="0.3"/>
  <cols>
    <col min="1" max="1" width="12.5546875" bestFit="1" customWidth="1"/>
    <col min="2" max="2" width="14.6640625" bestFit="1" customWidth="1"/>
    <col min="3" max="3" width="13.6640625" bestFit="1" customWidth="1"/>
  </cols>
  <sheetData>
    <row r="3" spans="1:3" x14ac:dyDescent="0.3">
      <c r="A3" s="5" t="s">
        <v>1067</v>
      </c>
      <c r="B3" s="7" t="s">
        <v>1069</v>
      </c>
      <c r="C3" s="7" t="s">
        <v>1071</v>
      </c>
    </row>
    <row r="4" spans="1:3" x14ac:dyDescent="0.3">
      <c r="A4" s="6" t="s">
        <v>83</v>
      </c>
      <c r="B4" s="7">
        <v>22209350</v>
      </c>
      <c r="C4" s="7">
        <v>4968885.5</v>
      </c>
    </row>
    <row r="5" spans="1:3" x14ac:dyDescent="0.3">
      <c r="A5" s="6" t="s">
        <v>25</v>
      </c>
      <c r="B5" s="7">
        <v>20765500</v>
      </c>
      <c r="C5" s="7">
        <v>4450056.5</v>
      </c>
    </row>
    <row r="6" spans="1:3" x14ac:dyDescent="0.3">
      <c r="A6" s="6" t="s">
        <v>33</v>
      </c>
      <c r="B6" s="7">
        <v>16669300</v>
      </c>
      <c r="C6" s="7">
        <v>3788337</v>
      </c>
    </row>
    <row r="7" spans="1:3" x14ac:dyDescent="0.3">
      <c r="A7" s="6" t="s">
        <v>14</v>
      </c>
      <c r="B7" s="7">
        <v>22888950</v>
      </c>
      <c r="C7" s="7">
        <v>4976900</v>
      </c>
    </row>
    <row r="8" spans="1:3" x14ac:dyDescent="0.3">
      <c r="A8" s="6" t="s">
        <v>19</v>
      </c>
      <c r="B8" s="7">
        <v>13378550</v>
      </c>
      <c r="C8" s="7">
        <v>3026461.5</v>
      </c>
    </row>
    <row r="9" spans="1:3" x14ac:dyDescent="0.3">
      <c r="A9" s="6" t="s">
        <v>51</v>
      </c>
      <c r="B9" s="7">
        <v>18903200</v>
      </c>
      <c r="C9" s="7">
        <v>4260378.5</v>
      </c>
    </row>
    <row r="10" spans="1:3" x14ac:dyDescent="0.3">
      <c r="A10" s="6" t="s">
        <v>72</v>
      </c>
      <c r="B10" s="7">
        <v>10166050</v>
      </c>
      <c r="C10" s="7">
        <v>2234968.5</v>
      </c>
    </row>
    <row r="11" spans="1:3" x14ac:dyDescent="0.3">
      <c r="A11" s="6" t="s">
        <v>86</v>
      </c>
      <c r="B11" s="7">
        <v>20616500</v>
      </c>
      <c r="C11" s="7">
        <v>4553341</v>
      </c>
    </row>
    <row r="12" spans="1:3" x14ac:dyDescent="0.3">
      <c r="A12" s="6" t="s">
        <v>39</v>
      </c>
      <c r="B12" s="7">
        <v>9643350</v>
      </c>
      <c r="C12" s="7">
        <v>2235788.5</v>
      </c>
    </row>
    <row r="13" spans="1:3" x14ac:dyDescent="0.3">
      <c r="A13" s="6" t="s">
        <v>64</v>
      </c>
      <c r="B13" s="7">
        <v>20451550</v>
      </c>
      <c r="C13" s="7">
        <v>4553647</v>
      </c>
    </row>
    <row r="14" spans="1:3" x14ac:dyDescent="0.3">
      <c r="A14" s="6" t="s">
        <v>1068</v>
      </c>
      <c r="B14" s="7">
        <v>175692300</v>
      </c>
      <c r="C14" s="7">
        <v>39048764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49D6-55F6-42BD-B6B9-E06C0F3BC52D}">
  <sheetPr>
    <pageSetUpPr autoPageBreaks="0"/>
  </sheetPr>
  <dimension ref="A1:J2"/>
  <sheetViews>
    <sheetView showGridLines="0" tabSelected="1" zoomScale="70" zoomScaleNormal="70" workbookViewId="0">
      <selection activeCell="S31" sqref="S31"/>
    </sheetView>
  </sheetViews>
  <sheetFormatPr defaultRowHeight="14.4" x14ac:dyDescent="0.3"/>
  <cols>
    <col min="1" max="1" width="18.6640625" bestFit="1" customWidth="1"/>
  </cols>
  <sheetData>
    <row r="1" spans="1:10" x14ac:dyDescent="0.3">
      <c r="A1" s="8" t="s">
        <v>1073</v>
      </c>
      <c r="B1" s="9"/>
      <c r="C1" s="9"/>
      <c r="D1" s="9"/>
      <c r="E1" s="9"/>
      <c r="F1" s="9"/>
      <c r="G1" s="9"/>
      <c r="H1" s="9"/>
      <c r="I1" s="9"/>
      <c r="J1" s="9"/>
    </row>
    <row r="2" spans="1:10" x14ac:dyDescent="0.3">
      <c r="A2" s="9"/>
      <c r="B2" s="9"/>
      <c r="C2" s="9"/>
      <c r="D2" s="9"/>
      <c r="E2" s="9"/>
      <c r="F2" s="9"/>
      <c r="G2" s="9"/>
      <c r="H2" s="9"/>
      <c r="I2" s="9"/>
      <c r="J2" s="9"/>
    </row>
  </sheetData>
  <mergeCells count="1">
    <mergeCell ref="A1: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A3B1-77E9-443D-AC59-DC94A63EAAD5}">
  <dimension ref="A2:B14"/>
  <sheetViews>
    <sheetView workbookViewId="0">
      <selection activeCell="J14" sqref="J14"/>
    </sheetView>
  </sheetViews>
  <sheetFormatPr defaultRowHeight="14.4" x14ac:dyDescent="0.3"/>
  <cols>
    <col min="1" max="1" width="12.5546875" bestFit="1" customWidth="1"/>
    <col min="2" max="2" width="14.6640625" bestFit="1" customWidth="1"/>
  </cols>
  <sheetData>
    <row r="2" spans="1:2" x14ac:dyDescent="0.3">
      <c r="B2" s="3"/>
    </row>
    <row r="3" spans="1:2" x14ac:dyDescent="0.3">
      <c r="A3" s="5" t="s">
        <v>1067</v>
      </c>
      <c r="B3" t="s">
        <v>1069</v>
      </c>
    </row>
    <row r="4" spans="1:2" x14ac:dyDescent="0.3">
      <c r="A4" s="6" t="s">
        <v>40</v>
      </c>
      <c r="B4" s="7">
        <v>3485000</v>
      </c>
    </row>
    <row r="5" spans="1:2" x14ac:dyDescent="0.3">
      <c r="A5" s="6" t="s">
        <v>74</v>
      </c>
      <c r="B5" s="7">
        <v>5328000</v>
      </c>
    </row>
    <row r="6" spans="1:2" x14ac:dyDescent="0.3">
      <c r="A6" s="6" t="s">
        <v>54</v>
      </c>
      <c r="B6" s="7">
        <v>10260000</v>
      </c>
    </row>
    <row r="7" spans="1:2" x14ac:dyDescent="0.3">
      <c r="A7" s="6" t="s">
        <v>22</v>
      </c>
      <c r="B7" s="7">
        <v>10620000</v>
      </c>
    </row>
    <row r="8" spans="1:2" x14ac:dyDescent="0.3">
      <c r="A8" s="6" t="s">
        <v>94</v>
      </c>
      <c r="B8" s="7">
        <v>14532000</v>
      </c>
    </row>
    <row r="9" spans="1:2" x14ac:dyDescent="0.3">
      <c r="A9" s="6" t="s">
        <v>52</v>
      </c>
      <c r="B9" s="7">
        <v>15505000</v>
      </c>
    </row>
    <row r="10" spans="1:2" x14ac:dyDescent="0.3">
      <c r="A10" s="6" t="s">
        <v>44</v>
      </c>
      <c r="B10" s="7">
        <v>16075000</v>
      </c>
    </row>
    <row r="11" spans="1:2" x14ac:dyDescent="0.3">
      <c r="A11" s="6" t="s">
        <v>65</v>
      </c>
      <c r="B11" s="7">
        <v>18986000</v>
      </c>
    </row>
    <row r="12" spans="1:2" x14ac:dyDescent="0.3">
      <c r="A12" s="6" t="s">
        <v>27</v>
      </c>
      <c r="B12" s="7">
        <v>27585000</v>
      </c>
    </row>
    <row r="13" spans="1:2" x14ac:dyDescent="0.3">
      <c r="A13" s="6" t="s">
        <v>111</v>
      </c>
      <c r="B13" s="7">
        <v>49300000</v>
      </c>
    </row>
    <row r="14" spans="1:2" x14ac:dyDescent="0.3">
      <c r="A14" s="6" t="s">
        <v>1068</v>
      </c>
      <c r="B14" s="7">
        <v>171676000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D12" sqref="D12"/>
    </sheetView>
  </sheetViews>
  <sheetFormatPr defaultRowHeight="14.4" x14ac:dyDescent="0.3"/>
  <cols>
    <col min="1" max="1" width="9.88671875" customWidth="1"/>
    <col min="4" max="4" width="12.88671875" customWidth="1"/>
    <col min="6" max="6" width="10.44140625" customWidth="1"/>
    <col min="7" max="7" width="9.5546875" customWidth="1"/>
    <col min="8" max="8" width="11.33203125" customWidth="1"/>
    <col min="9" max="9" width="1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s="2">
        <v>45912</v>
      </c>
      <c r="C2" t="s">
        <v>13</v>
      </c>
      <c r="D2" t="s">
        <v>14</v>
      </c>
      <c r="E2" t="s">
        <v>15</v>
      </c>
      <c r="F2" t="s">
        <v>16</v>
      </c>
      <c r="G2" t="s">
        <v>17</v>
      </c>
      <c r="H2">
        <v>2</v>
      </c>
      <c r="I2">
        <v>300</v>
      </c>
      <c r="J2">
        <f t="shared" ref="J2:J65" si="0">H2*I2</f>
        <v>600</v>
      </c>
      <c r="K2">
        <f>J2*0.71</f>
        <v>426</v>
      </c>
      <c r="L2">
        <f t="shared" ref="L2:L65" si="1">J2-K2</f>
        <v>174</v>
      </c>
    </row>
    <row r="3" spans="1:12" x14ac:dyDescent="0.3">
      <c r="A3" t="s">
        <v>18</v>
      </c>
      <c r="B3" s="2">
        <v>45929</v>
      </c>
      <c r="C3" t="s">
        <v>13</v>
      </c>
      <c r="D3" t="s">
        <v>19</v>
      </c>
      <c r="E3" t="s">
        <v>20</v>
      </c>
      <c r="F3" t="s">
        <v>21</v>
      </c>
      <c r="G3" t="s">
        <v>22</v>
      </c>
      <c r="H3">
        <v>12</v>
      </c>
      <c r="I3">
        <v>15000</v>
      </c>
      <c r="J3">
        <f t="shared" si="0"/>
        <v>180000</v>
      </c>
      <c r="K3">
        <f>J3*0.8</f>
        <v>144000</v>
      </c>
      <c r="L3">
        <f t="shared" si="1"/>
        <v>36000</v>
      </c>
    </row>
    <row r="4" spans="1:12" x14ac:dyDescent="0.3">
      <c r="A4" t="s">
        <v>23</v>
      </c>
      <c r="B4" s="2">
        <v>46010</v>
      </c>
      <c r="C4" t="s">
        <v>24</v>
      </c>
      <c r="D4" t="s">
        <v>25</v>
      </c>
      <c r="E4" t="s">
        <v>15</v>
      </c>
      <c r="F4" t="s">
        <v>26</v>
      </c>
      <c r="G4" t="s">
        <v>27</v>
      </c>
      <c r="H4">
        <v>18</v>
      </c>
      <c r="I4">
        <v>45000</v>
      </c>
      <c r="J4">
        <f t="shared" si="0"/>
        <v>810000</v>
      </c>
      <c r="K4">
        <f>J4*0.85</f>
        <v>688500</v>
      </c>
      <c r="L4">
        <f t="shared" si="1"/>
        <v>121500</v>
      </c>
    </row>
    <row r="5" spans="1:12" x14ac:dyDescent="0.3">
      <c r="A5" t="s">
        <v>28</v>
      </c>
      <c r="B5" s="2">
        <v>45675</v>
      </c>
      <c r="C5" t="s">
        <v>29</v>
      </c>
      <c r="D5" t="s">
        <v>14</v>
      </c>
      <c r="E5" t="s">
        <v>30</v>
      </c>
      <c r="F5" t="s">
        <v>26</v>
      </c>
      <c r="G5" t="s">
        <v>27</v>
      </c>
      <c r="H5">
        <v>17</v>
      </c>
      <c r="I5">
        <v>45000</v>
      </c>
      <c r="J5">
        <f t="shared" si="0"/>
        <v>765000</v>
      </c>
      <c r="K5">
        <f>J5*0.79</f>
        <v>604350</v>
      </c>
      <c r="L5">
        <f t="shared" si="1"/>
        <v>160650</v>
      </c>
    </row>
    <row r="6" spans="1:12" x14ac:dyDescent="0.3">
      <c r="A6" t="s">
        <v>31</v>
      </c>
      <c r="B6" s="2">
        <v>45987</v>
      </c>
      <c r="C6" t="s">
        <v>32</v>
      </c>
      <c r="D6" t="s">
        <v>33</v>
      </c>
      <c r="E6" t="s">
        <v>30</v>
      </c>
      <c r="F6" t="s">
        <v>26</v>
      </c>
      <c r="G6" t="s">
        <v>27</v>
      </c>
      <c r="H6">
        <v>18</v>
      </c>
      <c r="I6">
        <v>45000</v>
      </c>
      <c r="J6">
        <f t="shared" si="0"/>
        <v>810000</v>
      </c>
      <c r="K6">
        <f>J6*0.74</f>
        <v>599400</v>
      </c>
      <c r="L6">
        <f t="shared" si="1"/>
        <v>210600</v>
      </c>
    </row>
    <row r="7" spans="1:12" x14ac:dyDescent="0.3">
      <c r="A7" t="s">
        <v>34</v>
      </c>
      <c r="B7" s="2">
        <v>45906</v>
      </c>
      <c r="C7" t="s">
        <v>13</v>
      </c>
      <c r="D7" t="s">
        <v>14</v>
      </c>
      <c r="E7" t="s">
        <v>35</v>
      </c>
      <c r="F7" t="s">
        <v>16</v>
      </c>
      <c r="G7" t="s">
        <v>36</v>
      </c>
      <c r="H7">
        <v>3</v>
      </c>
      <c r="I7">
        <v>150</v>
      </c>
      <c r="J7">
        <f t="shared" si="0"/>
        <v>450</v>
      </c>
      <c r="K7">
        <f>J7*0.83</f>
        <v>373.5</v>
      </c>
      <c r="L7">
        <f t="shared" si="1"/>
        <v>76.5</v>
      </c>
    </row>
    <row r="8" spans="1:12" x14ac:dyDescent="0.3">
      <c r="A8" t="s">
        <v>37</v>
      </c>
      <c r="B8" s="2">
        <v>45945</v>
      </c>
      <c r="C8" t="s">
        <v>38</v>
      </c>
      <c r="D8" t="s">
        <v>39</v>
      </c>
      <c r="E8" t="s">
        <v>30</v>
      </c>
      <c r="F8" t="s">
        <v>21</v>
      </c>
      <c r="G8" t="s">
        <v>40</v>
      </c>
      <c r="H8">
        <v>18</v>
      </c>
      <c r="I8">
        <v>5000</v>
      </c>
      <c r="J8">
        <f t="shared" si="0"/>
        <v>90000</v>
      </c>
      <c r="K8">
        <f>J8*0.75</f>
        <v>67500</v>
      </c>
      <c r="L8">
        <f t="shared" si="1"/>
        <v>22500</v>
      </c>
    </row>
    <row r="9" spans="1:12" x14ac:dyDescent="0.3">
      <c r="A9" t="s">
        <v>41</v>
      </c>
      <c r="B9" s="2">
        <v>46020</v>
      </c>
      <c r="C9" t="s">
        <v>24</v>
      </c>
      <c r="D9" t="s">
        <v>33</v>
      </c>
      <c r="E9" t="s">
        <v>20</v>
      </c>
      <c r="F9" t="s">
        <v>21</v>
      </c>
      <c r="G9" t="s">
        <v>22</v>
      </c>
      <c r="H9">
        <v>6</v>
      </c>
      <c r="I9">
        <v>15000</v>
      </c>
      <c r="J9">
        <f t="shared" si="0"/>
        <v>90000</v>
      </c>
      <c r="K9">
        <f>J9*0.76</f>
        <v>68400</v>
      </c>
      <c r="L9">
        <f t="shared" si="1"/>
        <v>21600</v>
      </c>
    </row>
    <row r="10" spans="1:12" x14ac:dyDescent="0.3">
      <c r="A10" t="s">
        <v>42</v>
      </c>
      <c r="B10" s="2">
        <v>45833</v>
      </c>
      <c r="C10" t="s">
        <v>43</v>
      </c>
      <c r="D10" t="s">
        <v>25</v>
      </c>
      <c r="E10" t="s">
        <v>35</v>
      </c>
      <c r="F10" t="s">
        <v>26</v>
      </c>
      <c r="G10" t="s">
        <v>44</v>
      </c>
      <c r="H10">
        <v>17</v>
      </c>
      <c r="I10">
        <v>25000</v>
      </c>
      <c r="J10">
        <f t="shared" si="0"/>
        <v>425000</v>
      </c>
      <c r="K10">
        <f>J10*0.83</f>
        <v>352750</v>
      </c>
      <c r="L10">
        <f t="shared" si="1"/>
        <v>72250</v>
      </c>
    </row>
    <row r="11" spans="1:12" x14ac:dyDescent="0.3">
      <c r="A11" t="s">
        <v>45</v>
      </c>
      <c r="B11" s="2">
        <v>45820</v>
      </c>
      <c r="C11" t="s">
        <v>43</v>
      </c>
      <c r="D11" t="s">
        <v>25</v>
      </c>
      <c r="E11" t="s">
        <v>46</v>
      </c>
      <c r="F11" t="s">
        <v>16</v>
      </c>
      <c r="G11" t="s">
        <v>36</v>
      </c>
      <c r="H11">
        <v>18</v>
      </c>
      <c r="I11">
        <v>150</v>
      </c>
      <c r="J11">
        <f t="shared" si="0"/>
        <v>2700</v>
      </c>
      <c r="K11">
        <f>J11*0.81</f>
        <v>2187</v>
      </c>
      <c r="L11">
        <f t="shared" si="1"/>
        <v>513</v>
      </c>
    </row>
    <row r="12" spans="1:12" x14ac:dyDescent="0.3">
      <c r="A12" t="s">
        <v>47</v>
      </c>
      <c r="B12" s="2">
        <v>45779</v>
      </c>
      <c r="C12" t="s">
        <v>48</v>
      </c>
      <c r="D12" t="s">
        <v>39</v>
      </c>
      <c r="E12" t="s">
        <v>35</v>
      </c>
      <c r="F12" t="s">
        <v>26</v>
      </c>
      <c r="G12" t="s">
        <v>44</v>
      </c>
      <c r="H12">
        <v>4</v>
      </c>
      <c r="I12">
        <v>25000</v>
      </c>
      <c r="J12">
        <f t="shared" si="0"/>
        <v>100000</v>
      </c>
      <c r="K12">
        <f>J12*0.79</f>
        <v>79000</v>
      </c>
      <c r="L12">
        <f t="shared" si="1"/>
        <v>21000</v>
      </c>
    </row>
    <row r="13" spans="1:12" x14ac:dyDescent="0.3">
      <c r="A13" t="s">
        <v>49</v>
      </c>
      <c r="B13" s="2">
        <v>45708</v>
      </c>
      <c r="C13" t="s">
        <v>50</v>
      </c>
      <c r="D13" t="s">
        <v>51</v>
      </c>
      <c r="E13" t="s">
        <v>20</v>
      </c>
      <c r="F13" t="s">
        <v>26</v>
      </c>
      <c r="G13" t="s">
        <v>52</v>
      </c>
      <c r="H13">
        <v>8</v>
      </c>
      <c r="I13">
        <v>35000</v>
      </c>
      <c r="J13">
        <f t="shared" si="0"/>
        <v>280000</v>
      </c>
      <c r="K13">
        <f>J13*0.84</f>
        <v>235200</v>
      </c>
      <c r="L13">
        <f t="shared" si="1"/>
        <v>44800</v>
      </c>
    </row>
    <row r="14" spans="1:12" x14ac:dyDescent="0.3">
      <c r="A14" t="s">
        <v>53</v>
      </c>
      <c r="B14" s="2">
        <v>45690</v>
      </c>
      <c r="C14" t="s">
        <v>50</v>
      </c>
      <c r="D14" t="s">
        <v>51</v>
      </c>
      <c r="E14" t="s">
        <v>35</v>
      </c>
      <c r="F14" t="s">
        <v>21</v>
      </c>
      <c r="G14" t="s">
        <v>54</v>
      </c>
      <c r="H14">
        <v>16</v>
      </c>
      <c r="I14">
        <v>18000</v>
      </c>
      <c r="J14">
        <f t="shared" si="0"/>
        <v>288000</v>
      </c>
      <c r="K14">
        <f>J14*0.76</f>
        <v>218880</v>
      </c>
      <c r="L14">
        <f t="shared" si="1"/>
        <v>69120</v>
      </c>
    </row>
    <row r="15" spans="1:12" x14ac:dyDescent="0.3">
      <c r="A15" t="s">
        <v>55</v>
      </c>
      <c r="B15" s="2">
        <v>45683</v>
      </c>
      <c r="C15" t="s">
        <v>29</v>
      </c>
      <c r="D15" t="s">
        <v>14</v>
      </c>
      <c r="E15" t="s">
        <v>30</v>
      </c>
      <c r="F15" t="s">
        <v>26</v>
      </c>
      <c r="G15" t="s">
        <v>44</v>
      </c>
      <c r="H15">
        <v>2</v>
      </c>
      <c r="I15">
        <v>25000</v>
      </c>
      <c r="J15">
        <f t="shared" si="0"/>
        <v>50000</v>
      </c>
      <c r="K15">
        <f>J15*0.78</f>
        <v>39000</v>
      </c>
      <c r="L15">
        <f t="shared" si="1"/>
        <v>11000</v>
      </c>
    </row>
    <row r="16" spans="1:12" x14ac:dyDescent="0.3">
      <c r="A16" t="s">
        <v>56</v>
      </c>
      <c r="B16" s="2">
        <v>45900</v>
      </c>
      <c r="C16" t="s">
        <v>57</v>
      </c>
      <c r="D16" t="s">
        <v>14</v>
      </c>
      <c r="E16" t="s">
        <v>15</v>
      </c>
      <c r="F16" t="s">
        <v>26</v>
      </c>
      <c r="G16" t="s">
        <v>44</v>
      </c>
      <c r="H16">
        <v>15</v>
      </c>
      <c r="I16">
        <v>25000</v>
      </c>
      <c r="J16">
        <f t="shared" si="0"/>
        <v>375000</v>
      </c>
      <c r="K16">
        <f>J16*0.75</f>
        <v>281250</v>
      </c>
      <c r="L16">
        <f t="shared" si="1"/>
        <v>93750</v>
      </c>
    </row>
    <row r="17" spans="1:12" x14ac:dyDescent="0.3">
      <c r="A17" t="s">
        <v>58</v>
      </c>
      <c r="B17" s="2">
        <v>45760</v>
      </c>
      <c r="C17" t="s">
        <v>59</v>
      </c>
      <c r="D17" t="s">
        <v>25</v>
      </c>
      <c r="E17" t="s">
        <v>35</v>
      </c>
      <c r="F17" t="s">
        <v>16</v>
      </c>
      <c r="G17" t="s">
        <v>60</v>
      </c>
      <c r="H17">
        <v>4</v>
      </c>
      <c r="I17">
        <v>250</v>
      </c>
      <c r="J17">
        <f t="shared" si="0"/>
        <v>1000</v>
      </c>
      <c r="K17">
        <f>J17*0.73</f>
        <v>730</v>
      </c>
      <c r="L17">
        <f t="shared" si="1"/>
        <v>270</v>
      </c>
    </row>
    <row r="18" spans="1:12" x14ac:dyDescent="0.3">
      <c r="A18" t="s">
        <v>61</v>
      </c>
      <c r="B18" s="2">
        <v>45826</v>
      </c>
      <c r="C18" t="s">
        <v>43</v>
      </c>
      <c r="D18" t="s">
        <v>51</v>
      </c>
      <c r="E18" t="s">
        <v>20</v>
      </c>
      <c r="F18" t="s">
        <v>21</v>
      </c>
      <c r="G18" t="s">
        <v>54</v>
      </c>
      <c r="H18">
        <v>8</v>
      </c>
      <c r="I18">
        <v>18000</v>
      </c>
      <c r="J18">
        <f t="shared" si="0"/>
        <v>144000</v>
      </c>
      <c r="K18">
        <f>J18*0.73</f>
        <v>105120</v>
      </c>
      <c r="L18">
        <f t="shared" si="1"/>
        <v>38880</v>
      </c>
    </row>
    <row r="19" spans="1:12" x14ac:dyDescent="0.3">
      <c r="A19" t="s">
        <v>62</v>
      </c>
      <c r="B19" s="2">
        <v>45731</v>
      </c>
      <c r="C19" t="s">
        <v>63</v>
      </c>
      <c r="D19" t="s">
        <v>64</v>
      </c>
      <c r="E19" t="s">
        <v>30</v>
      </c>
      <c r="F19" t="s">
        <v>21</v>
      </c>
      <c r="G19" t="s">
        <v>65</v>
      </c>
      <c r="H19">
        <v>15</v>
      </c>
      <c r="I19">
        <v>22000</v>
      </c>
      <c r="J19">
        <f t="shared" si="0"/>
        <v>330000</v>
      </c>
      <c r="K19">
        <f>J19*0.73</f>
        <v>240900</v>
      </c>
      <c r="L19">
        <f t="shared" si="1"/>
        <v>89100</v>
      </c>
    </row>
    <row r="20" spans="1:12" x14ac:dyDescent="0.3">
      <c r="A20" t="s">
        <v>66</v>
      </c>
      <c r="B20" s="2">
        <v>45967</v>
      </c>
      <c r="C20" t="s">
        <v>32</v>
      </c>
      <c r="D20" t="s">
        <v>51</v>
      </c>
      <c r="E20" t="s">
        <v>30</v>
      </c>
      <c r="F20" t="s">
        <v>16</v>
      </c>
      <c r="G20" t="s">
        <v>36</v>
      </c>
      <c r="H20">
        <v>14</v>
      </c>
      <c r="I20">
        <v>150</v>
      </c>
      <c r="J20">
        <f t="shared" si="0"/>
        <v>2100</v>
      </c>
      <c r="K20">
        <f>J20*0.73</f>
        <v>1533</v>
      </c>
      <c r="L20">
        <f t="shared" si="1"/>
        <v>567</v>
      </c>
    </row>
    <row r="21" spans="1:12" x14ac:dyDescent="0.3">
      <c r="A21" t="s">
        <v>67</v>
      </c>
      <c r="B21" s="2">
        <v>45676</v>
      </c>
      <c r="C21" t="s">
        <v>29</v>
      </c>
      <c r="D21" t="s">
        <v>33</v>
      </c>
      <c r="E21" t="s">
        <v>46</v>
      </c>
      <c r="F21" t="s">
        <v>16</v>
      </c>
      <c r="G21" t="s">
        <v>60</v>
      </c>
      <c r="H21">
        <v>7</v>
      </c>
      <c r="I21">
        <v>250</v>
      </c>
      <c r="J21">
        <f t="shared" si="0"/>
        <v>1750</v>
      </c>
      <c r="K21">
        <f>J21*0.78</f>
        <v>1365</v>
      </c>
      <c r="L21">
        <f t="shared" si="1"/>
        <v>385</v>
      </c>
    </row>
    <row r="22" spans="1:12" x14ac:dyDescent="0.3">
      <c r="A22" t="s">
        <v>68</v>
      </c>
      <c r="B22" s="2">
        <v>45874</v>
      </c>
      <c r="C22" t="s">
        <v>57</v>
      </c>
      <c r="D22" t="s">
        <v>33</v>
      </c>
      <c r="E22" t="s">
        <v>30</v>
      </c>
      <c r="F22" t="s">
        <v>26</v>
      </c>
      <c r="G22" t="s">
        <v>69</v>
      </c>
      <c r="H22">
        <v>14</v>
      </c>
      <c r="I22">
        <v>2500</v>
      </c>
      <c r="J22">
        <f t="shared" si="0"/>
        <v>35000</v>
      </c>
      <c r="K22">
        <f>J22*0.81</f>
        <v>28350.000000000004</v>
      </c>
      <c r="L22">
        <f t="shared" si="1"/>
        <v>6649.9999999999964</v>
      </c>
    </row>
    <row r="23" spans="1:12" x14ac:dyDescent="0.3">
      <c r="A23" t="s">
        <v>70</v>
      </c>
      <c r="B23" s="2">
        <v>45691</v>
      </c>
      <c r="C23" t="s">
        <v>50</v>
      </c>
      <c r="D23" t="s">
        <v>51</v>
      </c>
      <c r="E23" t="s">
        <v>15</v>
      </c>
      <c r="F23" t="s">
        <v>16</v>
      </c>
      <c r="G23" t="s">
        <v>36</v>
      </c>
      <c r="H23">
        <v>14</v>
      </c>
      <c r="I23">
        <v>150</v>
      </c>
      <c r="J23">
        <f t="shared" si="0"/>
        <v>2100</v>
      </c>
      <c r="K23">
        <f>J23*0.77</f>
        <v>1617</v>
      </c>
      <c r="L23">
        <f t="shared" si="1"/>
        <v>483</v>
      </c>
    </row>
    <row r="24" spans="1:12" x14ac:dyDescent="0.3">
      <c r="A24" t="s">
        <v>71</v>
      </c>
      <c r="B24" s="2">
        <v>45887</v>
      </c>
      <c r="C24" t="s">
        <v>57</v>
      </c>
      <c r="D24" t="s">
        <v>72</v>
      </c>
      <c r="E24" t="s">
        <v>20</v>
      </c>
      <c r="F24" t="s">
        <v>21</v>
      </c>
      <c r="G24" t="s">
        <v>22</v>
      </c>
      <c r="H24">
        <v>12</v>
      </c>
      <c r="I24">
        <v>15000</v>
      </c>
      <c r="J24">
        <f t="shared" si="0"/>
        <v>180000</v>
      </c>
      <c r="K24">
        <f>J24*0.77</f>
        <v>138600</v>
      </c>
      <c r="L24">
        <f t="shared" si="1"/>
        <v>41400</v>
      </c>
    </row>
    <row r="25" spans="1:12" x14ac:dyDescent="0.3">
      <c r="A25" t="s">
        <v>73</v>
      </c>
      <c r="B25" s="2">
        <v>46001</v>
      </c>
      <c r="C25" t="s">
        <v>24</v>
      </c>
      <c r="D25" t="s">
        <v>64</v>
      </c>
      <c r="E25" t="s">
        <v>15</v>
      </c>
      <c r="F25" t="s">
        <v>21</v>
      </c>
      <c r="G25" t="s">
        <v>74</v>
      </c>
      <c r="H25">
        <v>2</v>
      </c>
      <c r="I25">
        <v>12000</v>
      </c>
      <c r="J25">
        <f t="shared" si="0"/>
        <v>24000</v>
      </c>
      <c r="K25">
        <f>J25*0.79</f>
        <v>18960</v>
      </c>
      <c r="L25">
        <f t="shared" si="1"/>
        <v>5040</v>
      </c>
    </row>
    <row r="26" spans="1:12" x14ac:dyDescent="0.3">
      <c r="A26" t="s">
        <v>75</v>
      </c>
      <c r="B26" s="2">
        <v>45856</v>
      </c>
      <c r="C26" t="s">
        <v>76</v>
      </c>
      <c r="D26" t="s">
        <v>19</v>
      </c>
      <c r="E26" t="s">
        <v>20</v>
      </c>
      <c r="F26" t="s">
        <v>26</v>
      </c>
      <c r="G26" t="s">
        <v>69</v>
      </c>
      <c r="H26">
        <v>4</v>
      </c>
      <c r="I26">
        <v>2500</v>
      </c>
      <c r="J26">
        <f t="shared" si="0"/>
        <v>10000</v>
      </c>
      <c r="K26">
        <f>J26*0.72</f>
        <v>7200</v>
      </c>
      <c r="L26">
        <f t="shared" si="1"/>
        <v>2800</v>
      </c>
    </row>
    <row r="27" spans="1:12" x14ac:dyDescent="0.3">
      <c r="A27" t="s">
        <v>77</v>
      </c>
      <c r="B27" s="2">
        <v>45866</v>
      </c>
      <c r="C27" t="s">
        <v>76</v>
      </c>
      <c r="D27" t="s">
        <v>19</v>
      </c>
      <c r="E27" t="s">
        <v>46</v>
      </c>
      <c r="F27" t="s">
        <v>16</v>
      </c>
      <c r="G27" t="s">
        <v>78</v>
      </c>
      <c r="H27">
        <v>20</v>
      </c>
      <c r="I27">
        <v>800</v>
      </c>
      <c r="J27">
        <f t="shared" si="0"/>
        <v>16000</v>
      </c>
      <c r="K27">
        <f>J27*0.82</f>
        <v>13120</v>
      </c>
      <c r="L27">
        <f t="shared" si="1"/>
        <v>2880</v>
      </c>
    </row>
    <row r="28" spans="1:12" x14ac:dyDescent="0.3">
      <c r="A28" t="s">
        <v>79</v>
      </c>
      <c r="B28" s="2">
        <v>45823</v>
      </c>
      <c r="C28" t="s">
        <v>43</v>
      </c>
      <c r="D28" t="s">
        <v>64</v>
      </c>
      <c r="E28" t="s">
        <v>35</v>
      </c>
      <c r="F28" t="s">
        <v>21</v>
      </c>
      <c r="G28" t="s">
        <v>54</v>
      </c>
      <c r="H28">
        <v>14</v>
      </c>
      <c r="I28">
        <v>18000</v>
      </c>
      <c r="J28">
        <f t="shared" si="0"/>
        <v>252000</v>
      </c>
      <c r="K28">
        <f>J28*0.83</f>
        <v>209160</v>
      </c>
      <c r="L28">
        <f t="shared" si="1"/>
        <v>42840</v>
      </c>
    </row>
    <row r="29" spans="1:12" x14ac:dyDescent="0.3">
      <c r="A29" t="s">
        <v>80</v>
      </c>
      <c r="B29" s="2">
        <v>45927</v>
      </c>
      <c r="C29" t="s">
        <v>13</v>
      </c>
      <c r="D29" t="s">
        <v>51</v>
      </c>
      <c r="E29" t="s">
        <v>35</v>
      </c>
      <c r="F29" t="s">
        <v>21</v>
      </c>
      <c r="G29" t="s">
        <v>40</v>
      </c>
      <c r="H29">
        <v>16</v>
      </c>
      <c r="I29">
        <v>5000</v>
      </c>
      <c r="J29">
        <f t="shared" si="0"/>
        <v>80000</v>
      </c>
      <c r="K29">
        <f>J29*0.85</f>
        <v>68000</v>
      </c>
      <c r="L29">
        <f t="shared" si="1"/>
        <v>12000</v>
      </c>
    </row>
    <row r="30" spans="1:12" x14ac:dyDescent="0.3">
      <c r="A30" t="s">
        <v>81</v>
      </c>
      <c r="B30" s="2">
        <v>45701</v>
      </c>
      <c r="C30" t="s">
        <v>50</v>
      </c>
      <c r="D30" t="s">
        <v>72</v>
      </c>
      <c r="E30" t="s">
        <v>35</v>
      </c>
      <c r="F30" t="s">
        <v>21</v>
      </c>
      <c r="G30" t="s">
        <v>65</v>
      </c>
      <c r="H30">
        <v>16</v>
      </c>
      <c r="I30">
        <v>22000</v>
      </c>
      <c r="J30">
        <f t="shared" si="0"/>
        <v>352000</v>
      </c>
      <c r="K30">
        <f>J30*0.72</f>
        <v>253440</v>
      </c>
      <c r="L30">
        <f t="shared" si="1"/>
        <v>98560</v>
      </c>
    </row>
    <row r="31" spans="1:12" x14ac:dyDescent="0.3">
      <c r="A31" t="s">
        <v>82</v>
      </c>
      <c r="B31" s="2">
        <v>45945</v>
      </c>
      <c r="C31" t="s">
        <v>38</v>
      </c>
      <c r="D31" t="s">
        <v>83</v>
      </c>
      <c r="E31" t="s">
        <v>15</v>
      </c>
      <c r="F31" t="s">
        <v>16</v>
      </c>
      <c r="G31" t="s">
        <v>36</v>
      </c>
      <c r="H31">
        <v>15</v>
      </c>
      <c r="I31">
        <v>150</v>
      </c>
      <c r="J31">
        <f t="shared" si="0"/>
        <v>2250</v>
      </c>
      <c r="K31">
        <f>J31*0.75</f>
        <v>1687.5</v>
      </c>
      <c r="L31">
        <f t="shared" si="1"/>
        <v>562.5</v>
      </c>
    </row>
    <row r="32" spans="1:12" x14ac:dyDescent="0.3">
      <c r="A32" t="s">
        <v>84</v>
      </c>
      <c r="B32" s="2">
        <v>45862</v>
      </c>
      <c r="C32" t="s">
        <v>76</v>
      </c>
      <c r="D32" t="s">
        <v>72</v>
      </c>
      <c r="E32" t="s">
        <v>20</v>
      </c>
      <c r="F32" t="s">
        <v>21</v>
      </c>
      <c r="G32" t="s">
        <v>74</v>
      </c>
      <c r="H32">
        <v>2</v>
      </c>
      <c r="I32">
        <v>12000</v>
      </c>
      <c r="J32">
        <f t="shared" si="0"/>
        <v>24000</v>
      </c>
      <c r="K32">
        <f>J32*0.8</f>
        <v>19200</v>
      </c>
      <c r="L32">
        <f t="shared" si="1"/>
        <v>4800</v>
      </c>
    </row>
    <row r="33" spans="1:12" x14ac:dyDescent="0.3">
      <c r="A33" t="s">
        <v>85</v>
      </c>
      <c r="B33" s="2">
        <v>45909</v>
      </c>
      <c r="C33" t="s">
        <v>13</v>
      </c>
      <c r="D33" t="s">
        <v>86</v>
      </c>
      <c r="E33" t="s">
        <v>46</v>
      </c>
      <c r="F33" t="s">
        <v>16</v>
      </c>
      <c r="G33" t="s">
        <v>36</v>
      </c>
      <c r="H33">
        <v>3</v>
      </c>
      <c r="I33">
        <v>150</v>
      </c>
      <c r="J33">
        <f t="shared" si="0"/>
        <v>450</v>
      </c>
      <c r="K33">
        <f>J33*0.73</f>
        <v>328.5</v>
      </c>
      <c r="L33">
        <f t="shared" si="1"/>
        <v>121.5</v>
      </c>
    </row>
    <row r="34" spans="1:12" x14ac:dyDescent="0.3">
      <c r="A34" t="s">
        <v>87</v>
      </c>
      <c r="B34" s="2">
        <v>45740</v>
      </c>
      <c r="C34" t="s">
        <v>63</v>
      </c>
      <c r="D34" t="s">
        <v>86</v>
      </c>
      <c r="E34" t="s">
        <v>30</v>
      </c>
      <c r="F34" t="s">
        <v>21</v>
      </c>
      <c r="G34" t="s">
        <v>54</v>
      </c>
      <c r="H34">
        <v>18</v>
      </c>
      <c r="I34">
        <v>18000</v>
      </c>
      <c r="J34">
        <f t="shared" si="0"/>
        <v>324000</v>
      </c>
      <c r="K34">
        <f>J34*0.75</f>
        <v>243000</v>
      </c>
      <c r="L34">
        <f t="shared" si="1"/>
        <v>81000</v>
      </c>
    </row>
    <row r="35" spans="1:12" x14ac:dyDescent="0.3">
      <c r="A35" t="s">
        <v>88</v>
      </c>
      <c r="B35" s="2">
        <v>45894</v>
      </c>
      <c r="C35" t="s">
        <v>57</v>
      </c>
      <c r="D35" t="s">
        <v>64</v>
      </c>
      <c r="E35" t="s">
        <v>20</v>
      </c>
      <c r="F35" t="s">
        <v>16</v>
      </c>
      <c r="G35" t="s">
        <v>78</v>
      </c>
      <c r="H35">
        <v>9</v>
      </c>
      <c r="I35">
        <v>800</v>
      </c>
      <c r="J35">
        <f t="shared" si="0"/>
        <v>7200</v>
      </c>
      <c r="K35">
        <f>J35*0.83</f>
        <v>5976</v>
      </c>
      <c r="L35">
        <f t="shared" si="1"/>
        <v>1224</v>
      </c>
    </row>
    <row r="36" spans="1:12" x14ac:dyDescent="0.3">
      <c r="A36" t="s">
        <v>89</v>
      </c>
      <c r="B36" s="2">
        <v>46009</v>
      </c>
      <c r="C36" t="s">
        <v>24</v>
      </c>
      <c r="D36" t="s">
        <v>64</v>
      </c>
      <c r="E36" t="s">
        <v>15</v>
      </c>
      <c r="F36" t="s">
        <v>26</v>
      </c>
      <c r="G36" t="s">
        <v>27</v>
      </c>
      <c r="H36">
        <v>2</v>
      </c>
      <c r="I36">
        <v>45000</v>
      </c>
      <c r="J36">
        <f t="shared" si="0"/>
        <v>90000</v>
      </c>
      <c r="K36">
        <f>J36*0.8</f>
        <v>72000</v>
      </c>
      <c r="L36">
        <f t="shared" si="1"/>
        <v>18000</v>
      </c>
    </row>
    <row r="37" spans="1:12" x14ac:dyDescent="0.3">
      <c r="A37" t="s">
        <v>90</v>
      </c>
      <c r="B37" s="2">
        <v>45839</v>
      </c>
      <c r="C37" t="s">
        <v>76</v>
      </c>
      <c r="D37" t="s">
        <v>14</v>
      </c>
      <c r="E37" t="s">
        <v>46</v>
      </c>
      <c r="F37" t="s">
        <v>26</v>
      </c>
      <c r="G37" t="s">
        <v>27</v>
      </c>
      <c r="H37">
        <v>1</v>
      </c>
      <c r="I37">
        <v>45000</v>
      </c>
      <c r="J37">
        <f t="shared" si="0"/>
        <v>45000</v>
      </c>
      <c r="K37">
        <f>J37*0.7</f>
        <v>31499.999999999996</v>
      </c>
      <c r="L37">
        <f t="shared" si="1"/>
        <v>13500.000000000004</v>
      </c>
    </row>
    <row r="38" spans="1:12" x14ac:dyDescent="0.3">
      <c r="A38" t="s">
        <v>91</v>
      </c>
      <c r="B38" s="2">
        <v>45861</v>
      </c>
      <c r="C38" t="s">
        <v>76</v>
      </c>
      <c r="D38" t="s">
        <v>25</v>
      </c>
      <c r="E38" t="s">
        <v>30</v>
      </c>
      <c r="F38" t="s">
        <v>16</v>
      </c>
      <c r="G38" t="s">
        <v>92</v>
      </c>
      <c r="H38">
        <v>1</v>
      </c>
      <c r="I38">
        <v>1200</v>
      </c>
      <c r="J38">
        <f t="shared" si="0"/>
        <v>1200</v>
      </c>
      <c r="K38">
        <f>J38*0.78</f>
        <v>936</v>
      </c>
      <c r="L38">
        <f t="shared" si="1"/>
        <v>264</v>
      </c>
    </row>
    <row r="39" spans="1:12" x14ac:dyDescent="0.3">
      <c r="A39" t="s">
        <v>93</v>
      </c>
      <c r="B39" s="2">
        <v>45739</v>
      </c>
      <c r="C39" t="s">
        <v>63</v>
      </c>
      <c r="D39" t="s">
        <v>86</v>
      </c>
      <c r="E39" t="s">
        <v>15</v>
      </c>
      <c r="F39" t="s">
        <v>26</v>
      </c>
      <c r="G39" t="s">
        <v>94</v>
      </c>
      <c r="H39">
        <v>15</v>
      </c>
      <c r="I39">
        <v>28000</v>
      </c>
      <c r="J39">
        <f t="shared" si="0"/>
        <v>420000</v>
      </c>
      <c r="K39">
        <f>J39*0.73</f>
        <v>306600</v>
      </c>
      <c r="L39">
        <f t="shared" si="1"/>
        <v>113400</v>
      </c>
    </row>
    <row r="40" spans="1:12" x14ac:dyDescent="0.3">
      <c r="A40" t="s">
        <v>95</v>
      </c>
      <c r="B40" s="2">
        <v>46018</v>
      </c>
      <c r="C40" t="s">
        <v>24</v>
      </c>
      <c r="D40" t="s">
        <v>51</v>
      </c>
      <c r="E40" t="s">
        <v>15</v>
      </c>
      <c r="F40" t="s">
        <v>21</v>
      </c>
      <c r="G40" t="s">
        <v>54</v>
      </c>
      <c r="H40">
        <v>16</v>
      </c>
      <c r="I40">
        <v>18000</v>
      </c>
      <c r="J40">
        <f t="shared" si="0"/>
        <v>288000</v>
      </c>
      <c r="K40">
        <f>J40*0.76</f>
        <v>218880</v>
      </c>
      <c r="L40">
        <f t="shared" si="1"/>
        <v>69120</v>
      </c>
    </row>
    <row r="41" spans="1:12" x14ac:dyDescent="0.3">
      <c r="A41" t="s">
        <v>96</v>
      </c>
      <c r="B41" s="2">
        <v>45769</v>
      </c>
      <c r="C41" t="s">
        <v>59</v>
      </c>
      <c r="D41" t="s">
        <v>64</v>
      </c>
      <c r="E41" t="s">
        <v>20</v>
      </c>
      <c r="F41" t="s">
        <v>26</v>
      </c>
      <c r="G41" t="s">
        <v>44</v>
      </c>
      <c r="H41">
        <v>13</v>
      </c>
      <c r="I41">
        <v>25000</v>
      </c>
      <c r="J41">
        <f t="shared" si="0"/>
        <v>325000</v>
      </c>
      <c r="K41">
        <f>J41*0.72</f>
        <v>234000</v>
      </c>
      <c r="L41">
        <f t="shared" si="1"/>
        <v>91000</v>
      </c>
    </row>
    <row r="42" spans="1:12" x14ac:dyDescent="0.3">
      <c r="A42" t="s">
        <v>97</v>
      </c>
      <c r="B42" s="2">
        <v>45794</v>
      </c>
      <c r="C42" t="s">
        <v>48</v>
      </c>
      <c r="D42" t="s">
        <v>64</v>
      </c>
      <c r="E42" t="s">
        <v>15</v>
      </c>
      <c r="F42" t="s">
        <v>21</v>
      </c>
      <c r="G42" t="s">
        <v>40</v>
      </c>
      <c r="H42">
        <v>7</v>
      </c>
      <c r="I42">
        <v>5000</v>
      </c>
      <c r="J42">
        <f t="shared" si="0"/>
        <v>35000</v>
      </c>
      <c r="K42">
        <f>J42*0.77</f>
        <v>26950</v>
      </c>
      <c r="L42">
        <f t="shared" si="1"/>
        <v>8050</v>
      </c>
    </row>
    <row r="43" spans="1:12" x14ac:dyDescent="0.3">
      <c r="A43" t="s">
        <v>98</v>
      </c>
      <c r="B43" s="2">
        <v>45827</v>
      </c>
      <c r="C43" t="s">
        <v>43</v>
      </c>
      <c r="D43" t="s">
        <v>64</v>
      </c>
      <c r="E43" t="s">
        <v>46</v>
      </c>
      <c r="F43" t="s">
        <v>16</v>
      </c>
      <c r="G43" t="s">
        <v>92</v>
      </c>
      <c r="H43">
        <v>2</v>
      </c>
      <c r="I43">
        <v>1200</v>
      </c>
      <c r="J43">
        <f t="shared" si="0"/>
        <v>2400</v>
      </c>
      <c r="K43">
        <f>J43*0.85</f>
        <v>2040</v>
      </c>
      <c r="L43">
        <f t="shared" si="1"/>
        <v>360</v>
      </c>
    </row>
    <row r="44" spans="1:12" x14ac:dyDescent="0.3">
      <c r="A44" t="s">
        <v>99</v>
      </c>
      <c r="B44" s="2">
        <v>45839</v>
      </c>
      <c r="C44" t="s">
        <v>76</v>
      </c>
      <c r="D44" t="s">
        <v>33</v>
      </c>
      <c r="E44" t="s">
        <v>15</v>
      </c>
      <c r="F44" t="s">
        <v>26</v>
      </c>
      <c r="G44" t="s">
        <v>69</v>
      </c>
      <c r="H44">
        <v>5</v>
      </c>
      <c r="I44">
        <v>2500</v>
      </c>
      <c r="J44">
        <f t="shared" si="0"/>
        <v>12500</v>
      </c>
      <c r="K44">
        <f>J44*0.77</f>
        <v>9625</v>
      </c>
      <c r="L44">
        <f t="shared" si="1"/>
        <v>2875</v>
      </c>
    </row>
    <row r="45" spans="1:12" x14ac:dyDescent="0.3">
      <c r="A45" t="s">
        <v>100</v>
      </c>
      <c r="B45" s="2">
        <v>45926</v>
      </c>
      <c r="C45" t="s">
        <v>13</v>
      </c>
      <c r="D45" t="s">
        <v>83</v>
      </c>
      <c r="E45" t="s">
        <v>20</v>
      </c>
      <c r="F45" t="s">
        <v>21</v>
      </c>
      <c r="G45" t="s">
        <v>54</v>
      </c>
      <c r="H45">
        <v>20</v>
      </c>
      <c r="I45">
        <v>18000</v>
      </c>
      <c r="J45">
        <f t="shared" si="0"/>
        <v>360000</v>
      </c>
      <c r="K45">
        <f>J45*0.81</f>
        <v>291600</v>
      </c>
      <c r="L45">
        <f t="shared" si="1"/>
        <v>68400</v>
      </c>
    </row>
    <row r="46" spans="1:12" x14ac:dyDescent="0.3">
      <c r="A46" t="s">
        <v>101</v>
      </c>
      <c r="B46" s="2">
        <v>45957</v>
      </c>
      <c r="C46" t="s">
        <v>38</v>
      </c>
      <c r="D46" t="s">
        <v>72</v>
      </c>
      <c r="E46" t="s">
        <v>30</v>
      </c>
      <c r="F46" t="s">
        <v>16</v>
      </c>
      <c r="G46" t="s">
        <v>17</v>
      </c>
      <c r="H46">
        <v>18</v>
      </c>
      <c r="I46">
        <v>300</v>
      </c>
      <c r="J46">
        <f t="shared" si="0"/>
        <v>5400</v>
      </c>
      <c r="K46">
        <f>J46*0.82</f>
        <v>4428</v>
      </c>
      <c r="L46">
        <f t="shared" si="1"/>
        <v>972</v>
      </c>
    </row>
    <row r="47" spans="1:12" x14ac:dyDescent="0.3">
      <c r="A47" t="s">
        <v>102</v>
      </c>
      <c r="B47" s="2">
        <v>45872</v>
      </c>
      <c r="C47" t="s">
        <v>57</v>
      </c>
      <c r="D47" t="s">
        <v>86</v>
      </c>
      <c r="E47" t="s">
        <v>30</v>
      </c>
      <c r="F47" t="s">
        <v>16</v>
      </c>
      <c r="G47" t="s">
        <v>17</v>
      </c>
      <c r="H47">
        <v>19</v>
      </c>
      <c r="I47">
        <v>300</v>
      </c>
      <c r="J47">
        <f t="shared" si="0"/>
        <v>5700</v>
      </c>
      <c r="K47">
        <f>J47*0.71</f>
        <v>4047</v>
      </c>
      <c r="L47">
        <f t="shared" si="1"/>
        <v>1653</v>
      </c>
    </row>
    <row r="48" spans="1:12" x14ac:dyDescent="0.3">
      <c r="A48" t="s">
        <v>103</v>
      </c>
      <c r="B48" s="2">
        <v>46022</v>
      </c>
      <c r="C48" t="s">
        <v>24</v>
      </c>
      <c r="D48" t="s">
        <v>33</v>
      </c>
      <c r="E48" t="s">
        <v>46</v>
      </c>
      <c r="F48" t="s">
        <v>21</v>
      </c>
      <c r="G48" t="s">
        <v>65</v>
      </c>
      <c r="H48">
        <v>14</v>
      </c>
      <c r="I48">
        <v>22000</v>
      </c>
      <c r="J48">
        <f t="shared" si="0"/>
        <v>308000</v>
      </c>
      <c r="K48">
        <f>J48*0.71</f>
        <v>218680</v>
      </c>
      <c r="L48">
        <f t="shared" si="1"/>
        <v>89320</v>
      </c>
    </row>
    <row r="49" spans="1:12" x14ac:dyDescent="0.3">
      <c r="A49" t="s">
        <v>104</v>
      </c>
      <c r="B49" s="2">
        <v>46007</v>
      </c>
      <c r="C49" t="s">
        <v>24</v>
      </c>
      <c r="D49" t="s">
        <v>51</v>
      </c>
      <c r="E49" t="s">
        <v>46</v>
      </c>
      <c r="F49" t="s">
        <v>26</v>
      </c>
      <c r="G49" t="s">
        <v>44</v>
      </c>
      <c r="H49">
        <v>15</v>
      </c>
      <c r="I49">
        <v>25000</v>
      </c>
      <c r="J49">
        <f t="shared" si="0"/>
        <v>375000</v>
      </c>
      <c r="K49">
        <f>J49*0.71</f>
        <v>266250</v>
      </c>
      <c r="L49">
        <f t="shared" si="1"/>
        <v>108750</v>
      </c>
    </row>
    <row r="50" spans="1:12" x14ac:dyDescent="0.3">
      <c r="A50" t="s">
        <v>105</v>
      </c>
      <c r="B50" s="2">
        <v>45847</v>
      </c>
      <c r="C50" t="s">
        <v>76</v>
      </c>
      <c r="D50" t="s">
        <v>83</v>
      </c>
      <c r="E50" t="s">
        <v>30</v>
      </c>
      <c r="F50" t="s">
        <v>21</v>
      </c>
      <c r="G50" t="s">
        <v>22</v>
      </c>
      <c r="H50">
        <v>10</v>
      </c>
      <c r="I50">
        <v>15000</v>
      </c>
      <c r="J50">
        <f t="shared" si="0"/>
        <v>150000</v>
      </c>
      <c r="K50">
        <f>J50*0.75</f>
        <v>112500</v>
      </c>
      <c r="L50">
        <f t="shared" si="1"/>
        <v>37500</v>
      </c>
    </row>
    <row r="51" spans="1:12" x14ac:dyDescent="0.3">
      <c r="A51" t="s">
        <v>106</v>
      </c>
      <c r="B51" s="2">
        <v>45914</v>
      </c>
      <c r="C51" t="s">
        <v>13</v>
      </c>
      <c r="D51" t="s">
        <v>19</v>
      </c>
      <c r="E51" t="s">
        <v>20</v>
      </c>
      <c r="F51" t="s">
        <v>16</v>
      </c>
      <c r="G51" t="s">
        <v>36</v>
      </c>
      <c r="H51">
        <v>7</v>
      </c>
      <c r="I51">
        <v>150</v>
      </c>
      <c r="J51">
        <f t="shared" si="0"/>
        <v>1050</v>
      </c>
      <c r="K51">
        <f>J51*0.72</f>
        <v>756</v>
      </c>
      <c r="L51">
        <f t="shared" si="1"/>
        <v>294</v>
      </c>
    </row>
    <row r="52" spans="1:12" x14ac:dyDescent="0.3">
      <c r="A52" t="s">
        <v>107</v>
      </c>
      <c r="B52" s="2">
        <v>45776</v>
      </c>
      <c r="C52" t="s">
        <v>59</v>
      </c>
      <c r="D52" t="s">
        <v>39</v>
      </c>
      <c r="E52" t="s">
        <v>20</v>
      </c>
      <c r="F52" t="s">
        <v>16</v>
      </c>
      <c r="G52" t="s">
        <v>60</v>
      </c>
      <c r="H52">
        <v>9</v>
      </c>
      <c r="I52">
        <v>250</v>
      </c>
      <c r="J52">
        <f t="shared" si="0"/>
        <v>2250</v>
      </c>
      <c r="K52">
        <f>J52*0.79</f>
        <v>1777.5</v>
      </c>
      <c r="L52">
        <f t="shared" si="1"/>
        <v>472.5</v>
      </c>
    </row>
    <row r="53" spans="1:12" x14ac:dyDescent="0.3">
      <c r="A53" t="s">
        <v>108</v>
      </c>
      <c r="B53" s="2">
        <v>45835</v>
      </c>
      <c r="C53" t="s">
        <v>43</v>
      </c>
      <c r="D53" t="s">
        <v>83</v>
      </c>
      <c r="E53" t="s">
        <v>30</v>
      </c>
      <c r="F53" t="s">
        <v>16</v>
      </c>
      <c r="G53" t="s">
        <v>36</v>
      </c>
      <c r="H53">
        <v>1</v>
      </c>
      <c r="I53">
        <v>150</v>
      </c>
      <c r="J53">
        <f t="shared" si="0"/>
        <v>150</v>
      </c>
      <c r="K53">
        <f>J53*0.73</f>
        <v>109.5</v>
      </c>
      <c r="L53">
        <f t="shared" si="1"/>
        <v>40.5</v>
      </c>
    </row>
    <row r="54" spans="1:12" x14ac:dyDescent="0.3">
      <c r="A54" t="s">
        <v>109</v>
      </c>
      <c r="B54" s="2">
        <v>45681</v>
      </c>
      <c r="C54" t="s">
        <v>29</v>
      </c>
      <c r="D54" t="s">
        <v>25</v>
      </c>
      <c r="E54" t="s">
        <v>15</v>
      </c>
      <c r="F54" t="s">
        <v>16</v>
      </c>
      <c r="G54" t="s">
        <v>78</v>
      </c>
      <c r="H54">
        <v>17</v>
      </c>
      <c r="I54">
        <v>800</v>
      </c>
      <c r="J54">
        <f t="shared" si="0"/>
        <v>13600</v>
      </c>
      <c r="K54">
        <f>J54*0.81</f>
        <v>11016</v>
      </c>
      <c r="L54">
        <f t="shared" si="1"/>
        <v>2584</v>
      </c>
    </row>
    <row r="55" spans="1:12" x14ac:dyDescent="0.3">
      <c r="A55" t="s">
        <v>110</v>
      </c>
      <c r="B55" s="2">
        <v>45763</v>
      </c>
      <c r="C55" t="s">
        <v>59</v>
      </c>
      <c r="D55" t="s">
        <v>33</v>
      </c>
      <c r="E55" t="s">
        <v>30</v>
      </c>
      <c r="F55" t="s">
        <v>26</v>
      </c>
      <c r="G55" t="s">
        <v>111</v>
      </c>
      <c r="H55">
        <v>12</v>
      </c>
      <c r="I55">
        <v>85000</v>
      </c>
      <c r="J55">
        <f t="shared" si="0"/>
        <v>1020000</v>
      </c>
      <c r="K55">
        <f>J55*0.81</f>
        <v>826200</v>
      </c>
      <c r="L55">
        <f t="shared" si="1"/>
        <v>193800</v>
      </c>
    </row>
    <row r="56" spans="1:12" x14ac:dyDescent="0.3">
      <c r="A56" t="s">
        <v>112</v>
      </c>
      <c r="B56" s="2">
        <v>45919</v>
      </c>
      <c r="C56" t="s">
        <v>13</v>
      </c>
      <c r="D56" t="s">
        <v>19</v>
      </c>
      <c r="E56" t="s">
        <v>15</v>
      </c>
      <c r="F56" t="s">
        <v>26</v>
      </c>
      <c r="G56" t="s">
        <v>44</v>
      </c>
      <c r="H56">
        <v>19</v>
      </c>
      <c r="I56">
        <v>25000</v>
      </c>
      <c r="J56">
        <f t="shared" si="0"/>
        <v>475000</v>
      </c>
      <c r="K56">
        <f>J56*0.74</f>
        <v>351500</v>
      </c>
      <c r="L56">
        <f t="shared" si="1"/>
        <v>123500</v>
      </c>
    </row>
    <row r="57" spans="1:12" x14ac:dyDescent="0.3">
      <c r="A57" t="s">
        <v>113</v>
      </c>
      <c r="B57" s="2">
        <v>45815</v>
      </c>
      <c r="C57" t="s">
        <v>43</v>
      </c>
      <c r="D57" t="s">
        <v>83</v>
      </c>
      <c r="E57" t="s">
        <v>15</v>
      </c>
      <c r="F57" t="s">
        <v>21</v>
      </c>
      <c r="G57" t="s">
        <v>65</v>
      </c>
      <c r="H57">
        <v>18</v>
      </c>
      <c r="I57">
        <v>22000</v>
      </c>
      <c r="J57">
        <f t="shared" si="0"/>
        <v>396000</v>
      </c>
      <c r="K57">
        <f>J57*0.73</f>
        <v>289080</v>
      </c>
      <c r="L57">
        <f t="shared" si="1"/>
        <v>106920</v>
      </c>
    </row>
    <row r="58" spans="1:12" x14ac:dyDescent="0.3">
      <c r="A58" t="s">
        <v>114</v>
      </c>
      <c r="B58" s="2">
        <v>45984</v>
      </c>
      <c r="C58" t="s">
        <v>32</v>
      </c>
      <c r="D58" t="s">
        <v>33</v>
      </c>
      <c r="E58" t="s">
        <v>30</v>
      </c>
      <c r="F58" t="s">
        <v>21</v>
      </c>
      <c r="G58" t="s">
        <v>54</v>
      </c>
      <c r="H58">
        <v>2</v>
      </c>
      <c r="I58">
        <v>18000</v>
      </c>
      <c r="J58">
        <f t="shared" si="0"/>
        <v>36000</v>
      </c>
      <c r="K58">
        <f>J58*0.72</f>
        <v>25920</v>
      </c>
      <c r="L58">
        <f t="shared" si="1"/>
        <v>10080</v>
      </c>
    </row>
    <row r="59" spans="1:12" x14ac:dyDescent="0.3">
      <c r="A59" t="s">
        <v>115</v>
      </c>
      <c r="B59" s="2">
        <v>45683</v>
      </c>
      <c r="C59" t="s">
        <v>29</v>
      </c>
      <c r="D59" t="s">
        <v>14</v>
      </c>
      <c r="E59" t="s">
        <v>30</v>
      </c>
      <c r="F59" t="s">
        <v>21</v>
      </c>
      <c r="G59" t="s">
        <v>40</v>
      </c>
      <c r="H59">
        <v>15</v>
      </c>
      <c r="I59">
        <v>5000</v>
      </c>
      <c r="J59">
        <f t="shared" si="0"/>
        <v>75000</v>
      </c>
      <c r="K59">
        <f>J59*0.75</f>
        <v>56250</v>
      </c>
      <c r="L59">
        <f t="shared" si="1"/>
        <v>18750</v>
      </c>
    </row>
    <row r="60" spans="1:12" x14ac:dyDescent="0.3">
      <c r="A60" t="s">
        <v>116</v>
      </c>
      <c r="B60" s="2">
        <v>45939</v>
      </c>
      <c r="C60" t="s">
        <v>38</v>
      </c>
      <c r="D60" t="s">
        <v>25</v>
      </c>
      <c r="E60" t="s">
        <v>15</v>
      </c>
      <c r="F60" t="s">
        <v>26</v>
      </c>
      <c r="G60" t="s">
        <v>44</v>
      </c>
      <c r="H60">
        <v>18</v>
      </c>
      <c r="I60">
        <v>25000</v>
      </c>
      <c r="J60">
        <f t="shared" si="0"/>
        <v>450000</v>
      </c>
      <c r="K60">
        <f>J60*0.85</f>
        <v>382500</v>
      </c>
      <c r="L60">
        <f t="shared" si="1"/>
        <v>67500</v>
      </c>
    </row>
    <row r="61" spans="1:12" x14ac:dyDescent="0.3">
      <c r="A61" t="s">
        <v>117</v>
      </c>
      <c r="B61" s="2">
        <v>45899</v>
      </c>
      <c r="C61" t="s">
        <v>57</v>
      </c>
      <c r="D61" t="s">
        <v>72</v>
      </c>
      <c r="E61" t="s">
        <v>20</v>
      </c>
      <c r="F61" t="s">
        <v>21</v>
      </c>
      <c r="G61" t="s">
        <v>22</v>
      </c>
      <c r="H61">
        <v>18</v>
      </c>
      <c r="I61">
        <v>15000</v>
      </c>
      <c r="J61">
        <f t="shared" si="0"/>
        <v>270000</v>
      </c>
      <c r="K61">
        <f>J61*0.82</f>
        <v>221400</v>
      </c>
      <c r="L61">
        <f t="shared" si="1"/>
        <v>48600</v>
      </c>
    </row>
    <row r="62" spans="1:12" x14ac:dyDescent="0.3">
      <c r="A62" t="s">
        <v>118</v>
      </c>
      <c r="B62" s="2">
        <v>45869</v>
      </c>
      <c r="C62" t="s">
        <v>76</v>
      </c>
      <c r="D62" t="s">
        <v>72</v>
      </c>
      <c r="E62" t="s">
        <v>20</v>
      </c>
      <c r="F62" t="s">
        <v>16</v>
      </c>
      <c r="G62" t="s">
        <v>78</v>
      </c>
      <c r="H62">
        <v>10</v>
      </c>
      <c r="I62">
        <v>800</v>
      </c>
      <c r="J62">
        <f t="shared" si="0"/>
        <v>8000</v>
      </c>
      <c r="K62">
        <f>J62*0.83</f>
        <v>6640</v>
      </c>
      <c r="L62">
        <f t="shared" si="1"/>
        <v>1360</v>
      </c>
    </row>
    <row r="63" spans="1:12" x14ac:dyDescent="0.3">
      <c r="A63" t="s">
        <v>119</v>
      </c>
      <c r="B63" s="2">
        <v>45873</v>
      </c>
      <c r="C63" t="s">
        <v>57</v>
      </c>
      <c r="D63" t="s">
        <v>25</v>
      </c>
      <c r="E63" t="s">
        <v>46</v>
      </c>
      <c r="F63" t="s">
        <v>16</v>
      </c>
      <c r="G63" t="s">
        <v>92</v>
      </c>
      <c r="H63">
        <v>4</v>
      </c>
      <c r="I63">
        <v>1200</v>
      </c>
      <c r="J63">
        <f t="shared" si="0"/>
        <v>4800</v>
      </c>
      <c r="K63">
        <f>J63*0.81</f>
        <v>3888.0000000000005</v>
      </c>
      <c r="L63">
        <f t="shared" si="1"/>
        <v>911.99999999999955</v>
      </c>
    </row>
    <row r="64" spans="1:12" x14ac:dyDescent="0.3">
      <c r="A64" t="s">
        <v>120</v>
      </c>
      <c r="B64" s="2">
        <v>46019</v>
      </c>
      <c r="C64" t="s">
        <v>24</v>
      </c>
      <c r="D64" t="s">
        <v>14</v>
      </c>
      <c r="E64" t="s">
        <v>35</v>
      </c>
      <c r="F64" t="s">
        <v>16</v>
      </c>
      <c r="G64" t="s">
        <v>60</v>
      </c>
      <c r="H64">
        <v>18</v>
      </c>
      <c r="I64">
        <v>250</v>
      </c>
      <c r="J64">
        <f t="shared" si="0"/>
        <v>4500</v>
      </c>
      <c r="K64">
        <f>J64*0.76</f>
        <v>3420</v>
      </c>
      <c r="L64">
        <f t="shared" si="1"/>
        <v>1080</v>
      </c>
    </row>
    <row r="65" spans="1:12" x14ac:dyDescent="0.3">
      <c r="A65" t="s">
        <v>121</v>
      </c>
      <c r="B65" s="2">
        <v>45714</v>
      </c>
      <c r="C65" t="s">
        <v>50</v>
      </c>
      <c r="D65" t="s">
        <v>25</v>
      </c>
      <c r="E65" t="s">
        <v>20</v>
      </c>
      <c r="F65" t="s">
        <v>26</v>
      </c>
      <c r="G65" t="s">
        <v>94</v>
      </c>
      <c r="H65">
        <v>18</v>
      </c>
      <c r="I65">
        <v>28000</v>
      </c>
      <c r="J65">
        <f t="shared" si="0"/>
        <v>504000</v>
      </c>
      <c r="K65">
        <f>J65*0.82</f>
        <v>413280</v>
      </c>
      <c r="L65">
        <f t="shared" si="1"/>
        <v>90720</v>
      </c>
    </row>
    <row r="66" spans="1:12" x14ac:dyDescent="0.3">
      <c r="A66" t="s">
        <v>122</v>
      </c>
      <c r="B66" s="2">
        <v>45685</v>
      </c>
      <c r="C66" t="s">
        <v>29</v>
      </c>
      <c r="D66" t="s">
        <v>39</v>
      </c>
      <c r="E66" t="s">
        <v>46</v>
      </c>
      <c r="F66" t="s">
        <v>26</v>
      </c>
      <c r="G66" t="s">
        <v>44</v>
      </c>
      <c r="H66">
        <v>15</v>
      </c>
      <c r="I66">
        <v>25000</v>
      </c>
      <c r="J66">
        <f t="shared" ref="J66:J129" si="2">H66*I66</f>
        <v>375000</v>
      </c>
      <c r="K66">
        <f>J66*0.75</f>
        <v>281250</v>
      </c>
      <c r="L66">
        <f t="shared" ref="L66:L129" si="3">J66-K66</f>
        <v>93750</v>
      </c>
    </row>
    <row r="67" spans="1:12" x14ac:dyDescent="0.3">
      <c r="A67" t="s">
        <v>123</v>
      </c>
      <c r="B67" s="2">
        <v>45902</v>
      </c>
      <c r="C67" t="s">
        <v>13</v>
      </c>
      <c r="D67" t="s">
        <v>25</v>
      </c>
      <c r="E67" t="s">
        <v>30</v>
      </c>
      <c r="F67" t="s">
        <v>16</v>
      </c>
      <c r="G67" t="s">
        <v>78</v>
      </c>
      <c r="H67">
        <v>1</v>
      </c>
      <c r="I67">
        <v>800</v>
      </c>
      <c r="J67">
        <f t="shared" si="2"/>
        <v>800</v>
      </c>
      <c r="K67">
        <f>J67*0.83</f>
        <v>664</v>
      </c>
      <c r="L67">
        <f t="shared" si="3"/>
        <v>136</v>
      </c>
    </row>
    <row r="68" spans="1:12" x14ac:dyDescent="0.3">
      <c r="A68" t="s">
        <v>124</v>
      </c>
      <c r="B68" s="2">
        <v>45768</v>
      </c>
      <c r="C68" t="s">
        <v>59</v>
      </c>
      <c r="D68" t="s">
        <v>83</v>
      </c>
      <c r="E68" t="s">
        <v>20</v>
      </c>
      <c r="F68" t="s">
        <v>26</v>
      </c>
      <c r="G68" t="s">
        <v>94</v>
      </c>
      <c r="H68">
        <v>6</v>
      </c>
      <c r="I68">
        <v>28000</v>
      </c>
      <c r="J68">
        <f t="shared" si="2"/>
        <v>168000</v>
      </c>
      <c r="K68">
        <f>J68*0.77</f>
        <v>129360</v>
      </c>
      <c r="L68">
        <f t="shared" si="3"/>
        <v>38640</v>
      </c>
    </row>
    <row r="69" spans="1:12" x14ac:dyDescent="0.3">
      <c r="A69" t="s">
        <v>125</v>
      </c>
      <c r="B69" s="2">
        <v>45788</v>
      </c>
      <c r="C69" t="s">
        <v>48</v>
      </c>
      <c r="D69" t="s">
        <v>25</v>
      </c>
      <c r="E69" t="s">
        <v>30</v>
      </c>
      <c r="F69" t="s">
        <v>16</v>
      </c>
      <c r="G69" t="s">
        <v>60</v>
      </c>
      <c r="H69">
        <v>18</v>
      </c>
      <c r="I69">
        <v>250</v>
      </c>
      <c r="J69">
        <f t="shared" si="2"/>
        <v>4500</v>
      </c>
      <c r="K69">
        <f>J69*0.8</f>
        <v>3600</v>
      </c>
      <c r="L69">
        <f t="shared" si="3"/>
        <v>900</v>
      </c>
    </row>
    <row r="70" spans="1:12" x14ac:dyDescent="0.3">
      <c r="A70" t="s">
        <v>126</v>
      </c>
      <c r="B70" s="2">
        <v>45865</v>
      </c>
      <c r="C70" t="s">
        <v>76</v>
      </c>
      <c r="D70" t="s">
        <v>86</v>
      </c>
      <c r="E70" t="s">
        <v>30</v>
      </c>
      <c r="F70" t="s">
        <v>26</v>
      </c>
      <c r="G70" t="s">
        <v>127</v>
      </c>
      <c r="H70">
        <v>15</v>
      </c>
      <c r="I70">
        <v>1500</v>
      </c>
      <c r="J70">
        <f t="shared" si="2"/>
        <v>22500</v>
      </c>
      <c r="K70">
        <f>J70*0.72</f>
        <v>16200</v>
      </c>
      <c r="L70">
        <f t="shared" si="3"/>
        <v>6300</v>
      </c>
    </row>
    <row r="71" spans="1:12" x14ac:dyDescent="0.3">
      <c r="A71" t="s">
        <v>128</v>
      </c>
      <c r="B71" s="2">
        <v>45701</v>
      </c>
      <c r="C71" t="s">
        <v>50</v>
      </c>
      <c r="D71" t="s">
        <v>25</v>
      </c>
      <c r="E71" t="s">
        <v>46</v>
      </c>
      <c r="F71" t="s">
        <v>21</v>
      </c>
      <c r="G71" t="s">
        <v>54</v>
      </c>
      <c r="H71">
        <v>20</v>
      </c>
      <c r="I71">
        <v>18000</v>
      </c>
      <c r="J71">
        <f t="shared" si="2"/>
        <v>360000</v>
      </c>
      <c r="K71">
        <f>J71*0.85</f>
        <v>306000</v>
      </c>
      <c r="L71">
        <f t="shared" si="3"/>
        <v>54000</v>
      </c>
    </row>
    <row r="72" spans="1:12" x14ac:dyDescent="0.3">
      <c r="A72" t="s">
        <v>129</v>
      </c>
      <c r="B72" s="2">
        <v>45830</v>
      </c>
      <c r="C72" t="s">
        <v>43</v>
      </c>
      <c r="D72" t="s">
        <v>86</v>
      </c>
      <c r="E72" t="s">
        <v>46</v>
      </c>
      <c r="F72" t="s">
        <v>16</v>
      </c>
      <c r="G72" t="s">
        <v>92</v>
      </c>
      <c r="H72">
        <v>10</v>
      </c>
      <c r="I72">
        <v>1200</v>
      </c>
      <c r="J72">
        <f t="shared" si="2"/>
        <v>12000</v>
      </c>
      <c r="K72">
        <f>J72*0.74</f>
        <v>8880</v>
      </c>
      <c r="L72">
        <f t="shared" si="3"/>
        <v>3120</v>
      </c>
    </row>
    <row r="73" spans="1:12" x14ac:dyDescent="0.3">
      <c r="A73" t="s">
        <v>130</v>
      </c>
      <c r="B73" s="2">
        <v>45951</v>
      </c>
      <c r="C73" t="s">
        <v>38</v>
      </c>
      <c r="D73" t="s">
        <v>86</v>
      </c>
      <c r="E73" t="s">
        <v>20</v>
      </c>
      <c r="F73" t="s">
        <v>26</v>
      </c>
      <c r="G73" t="s">
        <v>94</v>
      </c>
      <c r="H73">
        <v>13</v>
      </c>
      <c r="I73">
        <v>28000</v>
      </c>
      <c r="J73">
        <f t="shared" si="2"/>
        <v>364000</v>
      </c>
      <c r="K73">
        <f>J73*0.71</f>
        <v>258440</v>
      </c>
      <c r="L73">
        <f t="shared" si="3"/>
        <v>105560</v>
      </c>
    </row>
    <row r="74" spans="1:12" x14ac:dyDescent="0.3">
      <c r="A74" t="s">
        <v>131</v>
      </c>
      <c r="B74" s="2">
        <v>45827</v>
      </c>
      <c r="C74" t="s">
        <v>43</v>
      </c>
      <c r="D74" t="s">
        <v>51</v>
      </c>
      <c r="E74" t="s">
        <v>20</v>
      </c>
      <c r="F74" t="s">
        <v>16</v>
      </c>
      <c r="G74" t="s">
        <v>78</v>
      </c>
      <c r="H74">
        <v>4</v>
      </c>
      <c r="I74">
        <v>800</v>
      </c>
      <c r="J74">
        <f t="shared" si="2"/>
        <v>3200</v>
      </c>
      <c r="K74">
        <f>J74*0.83</f>
        <v>2656</v>
      </c>
      <c r="L74">
        <f t="shared" si="3"/>
        <v>544</v>
      </c>
    </row>
    <row r="75" spans="1:12" x14ac:dyDescent="0.3">
      <c r="A75" t="s">
        <v>132</v>
      </c>
      <c r="B75" s="2">
        <v>45963</v>
      </c>
      <c r="C75" t="s">
        <v>32</v>
      </c>
      <c r="D75" t="s">
        <v>51</v>
      </c>
      <c r="E75" t="s">
        <v>35</v>
      </c>
      <c r="F75" t="s">
        <v>16</v>
      </c>
      <c r="G75" t="s">
        <v>60</v>
      </c>
      <c r="H75">
        <v>18</v>
      </c>
      <c r="I75">
        <v>250</v>
      </c>
      <c r="J75">
        <f t="shared" si="2"/>
        <v>4500</v>
      </c>
      <c r="K75">
        <f>J75*0.75</f>
        <v>3375</v>
      </c>
      <c r="L75">
        <f t="shared" si="3"/>
        <v>1125</v>
      </c>
    </row>
    <row r="76" spans="1:12" x14ac:dyDescent="0.3">
      <c r="A76" t="s">
        <v>133</v>
      </c>
      <c r="B76" s="2">
        <v>45807</v>
      </c>
      <c r="C76" t="s">
        <v>48</v>
      </c>
      <c r="D76" t="s">
        <v>83</v>
      </c>
      <c r="E76" t="s">
        <v>46</v>
      </c>
      <c r="F76" t="s">
        <v>26</v>
      </c>
      <c r="G76" t="s">
        <v>111</v>
      </c>
      <c r="H76">
        <v>14</v>
      </c>
      <c r="I76">
        <v>85000</v>
      </c>
      <c r="J76">
        <f t="shared" si="2"/>
        <v>1190000</v>
      </c>
      <c r="K76">
        <f>J76*0.82</f>
        <v>975800</v>
      </c>
      <c r="L76">
        <f t="shared" si="3"/>
        <v>214200</v>
      </c>
    </row>
    <row r="77" spans="1:12" x14ac:dyDescent="0.3">
      <c r="A77" t="s">
        <v>134</v>
      </c>
      <c r="B77" s="2">
        <v>45914</v>
      </c>
      <c r="C77" t="s">
        <v>13</v>
      </c>
      <c r="D77" t="s">
        <v>83</v>
      </c>
      <c r="E77" t="s">
        <v>35</v>
      </c>
      <c r="F77" t="s">
        <v>21</v>
      </c>
      <c r="G77" t="s">
        <v>22</v>
      </c>
      <c r="H77">
        <v>14</v>
      </c>
      <c r="I77">
        <v>15000</v>
      </c>
      <c r="J77">
        <f t="shared" si="2"/>
        <v>210000</v>
      </c>
      <c r="K77">
        <f>J77*0.76</f>
        <v>159600</v>
      </c>
      <c r="L77">
        <f t="shared" si="3"/>
        <v>50400</v>
      </c>
    </row>
    <row r="78" spans="1:12" x14ac:dyDescent="0.3">
      <c r="A78" t="s">
        <v>135</v>
      </c>
      <c r="B78" s="2">
        <v>45916</v>
      </c>
      <c r="C78" t="s">
        <v>13</v>
      </c>
      <c r="D78" t="s">
        <v>39</v>
      </c>
      <c r="E78" t="s">
        <v>15</v>
      </c>
      <c r="F78" t="s">
        <v>16</v>
      </c>
      <c r="G78" t="s">
        <v>78</v>
      </c>
      <c r="H78">
        <v>17</v>
      </c>
      <c r="I78">
        <v>800</v>
      </c>
      <c r="J78">
        <f t="shared" si="2"/>
        <v>13600</v>
      </c>
      <c r="K78">
        <f>J78*0.77</f>
        <v>10472</v>
      </c>
      <c r="L78">
        <f t="shared" si="3"/>
        <v>3128</v>
      </c>
    </row>
    <row r="79" spans="1:12" x14ac:dyDescent="0.3">
      <c r="A79" t="s">
        <v>136</v>
      </c>
      <c r="B79" s="2">
        <v>45668</v>
      </c>
      <c r="C79" t="s">
        <v>29</v>
      </c>
      <c r="D79" t="s">
        <v>19</v>
      </c>
      <c r="E79" t="s">
        <v>15</v>
      </c>
      <c r="F79" t="s">
        <v>26</v>
      </c>
      <c r="G79" t="s">
        <v>69</v>
      </c>
      <c r="H79">
        <v>3</v>
      </c>
      <c r="I79">
        <v>2500</v>
      </c>
      <c r="J79">
        <f t="shared" si="2"/>
        <v>7500</v>
      </c>
      <c r="K79">
        <f>J79*0.72</f>
        <v>5400</v>
      </c>
      <c r="L79">
        <f t="shared" si="3"/>
        <v>2100</v>
      </c>
    </row>
    <row r="80" spans="1:12" x14ac:dyDescent="0.3">
      <c r="A80" t="s">
        <v>137</v>
      </c>
      <c r="B80" s="2">
        <v>45962</v>
      </c>
      <c r="C80" t="s">
        <v>32</v>
      </c>
      <c r="D80" t="s">
        <v>25</v>
      </c>
      <c r="E80" t="s">
        <v>30</v>
      </c>
      <c r="F80" t="s">
        <v>16</v>
      </c>
      <c r="G80" t="s">
        <v>36</v>
      </c>
      <c r="H80">
        <v>18</v>
      </c>
      <c r="I80">
        <v>150</v>
      </c>
      <c r="J80">
        <f t="shared" si="2"/>
        <v>2700</v>
      </c>
      <c r="K80">
        <f>J80*0.71</f>
        <v>1917</v>
      </c>
      <c r="L80">
        <f t="shared" si="3"/>
        <v>783</v>
      </c>
    </row>
    <row r="81" spans="1:12" x14ac:dyDescent="0.3">
      <c r="A81" t="s">
        <v>138</v>
      </c>
      <c r="B81" s="2">
        <v>45756</v>
      </c>
      <c r="C81" t="s">
        <v>59</v>
      </c>
      <c r="D81" t="s">
        <v>83</v>
      </c>
      <c r="E81" t="s">
        <v>15</v>
      </c>
      <c r="F81" t="s">
        <v>26</v>
      </c>
      <c r="G81" t="s">
        <v>111</v>
      </c>
      <c r="H81">
        <v>3</v>
      </c>
      <c r="I81">
        <v>85000</v>
      </c>
      <c r="J81">
        <f t="shared" si="2"/>
        <v>255000</v>
      </c>
      <c r="K81">
        <f>J81*0.82</f>
        <v>209100</v>
      </c>
      <c r="L81">
        <f t="shared" si="3"/>
        <v>45900</v>
      </c>
    </row>
    <row r="82" spans="1:12" x14ac:dyDescent="0.3">
      <c r="A82" t="s">
        <v>139</v>
      </c>
      <c r="B82" s="2">
        <v>45711</v>
      </c>
      <c r="C82" t="s">
        <v>50</v>
      </c>
      <c r="D82" t="s">
        <v>72</v>
      </c>
      <c r="E82" t="s">
        <v>30</v>
      </c>
      <c r="F82" t="s">
        <v>16</v>
      </c>
      <c r="G82" t="s">
        <v>78</v>
      </c>
      <c r="H82">
        <v>8</v>
      </c>
      <c r="I82">
        <v>800</v>
      </c>
      <c r="J82">
        <f t="shared" si="2"/>
        <v>6400</v>
      </c>
      <c r="K82">
        <f>J82*0.85</f>
        <v>5440</v>
      </c>
      <c r="L82">
        <f t="shared" si="3"/>
        <v>960</v>
      </c>
    </row>
    <row r="83" spans="1:12" x14ac:dyDescent="0.3">
      <c r="A83" t="s">
        <v>140</v>
      </c>
      <c r="B83" s="2">
        <v>45757</v>
      </c>
      <c r="C83" t="s">
        <v>59</v>
      </c>
      <c r="D83" t="s">
        <v>86</v>
      </c>
      <c r="E83" t="s">
        <v>20</v>
      </c>
      <c r="F83" t="s">
        <v>26</v>
      </c>
      <c r="G83" t="s">
        <v>44</v>
      </c>
      <c r="H83">
        <v>12</v>
      </c>
      <c r="I83">
        <v>25000</v>
      </c>
      <c r="J83">
        <f t="shared" si="2"/>
        <v>300000</v>
      </c>
      <c r="K83">
        <f>J83*0.71</f>
        <v>213000</v>
      </c>
      <c r="L83">
        <f t="shared" si="3"/>
        <v>87000</v>
      </c>
    </row>
    <row r="84" spans="1:12" x14ac:dyDescent="0.3">
      <c r="A84" t="s">
        <v>141</v>
      </c>
      <c r="B84" s="2">
        <v>45840</v>
      </c>
      <c r="C84" t="s">
        <v>76</v>
      </c>
      <c r="D84" t="s">
        <v>51</v>
      </c>
      <c r="E84" t="s">
        <v>15</v>
      </c>
      <c r="F84" t="s">
        <v>21</v>
      </c>
      <c r="G84" t="s">
        <v>54</v>
      </c>
      <c r="H84">
        <v>17</v>
      </c>
      <c r="I84">
        <v>18000</v>
      </c>
      <c r="J84">
        <f t="shared" si="2"/>
        <v>306000</v>
      </c>
      <c r="K84">
        <f>J84*0.75</f>
        <v>229500</v>
      </c>
      <c r="L84">
        <f t="shared" si="3"/>
        <v>76500</v>
      </c>
    </row>
    <row r="85" spans="1:12" x14ac:dyDescent="0.3">
      <c r="A85" t="s">
        <v>142</v>
      </c>
      <c r="B85" s="2">
        <v>45795</v>
      </c>
      <c r="C85" t="s">
        <v>48</v>
      </c>
      <c r="D85" t="s">
        <v>33</v>
      </c>
      <c r="E85" t="s">
        <v>15</v>
      </c>
      <c r="F85" t="s">
        <v>21</v>
      </c>
      <c r="G85" t="s">
        <v>65</v>
      </c>
      <c r="H85">
        <v>20</v>
      </c>
      <c r="I85">
        <v>22000</v>
      </c>
      <c r="J85">
        <f t="shared" si="2"/>
        <v>440000</v>
      </c>
      <c r="K85">
        <f>J85*0.85</f>
        <v>374000</v>
      </c>
      <c r="L85">
        <f t="shared" si="3"/>
        <v>66000</v>
      </c>
    </row>
    <row r="86" spans="1:12" x14ac:dyDescent="0.3">
      <c r="A86" t="s">
        <v>143</v>
      </c>
      <c r="B86" s="2">
        <v>45778</v>
      </c>
      <c r="C86" t="s">
        <v>48</v>
      </c>
      <c r="D86" t="s">
        <v>25</v>
      </c>
      <c r="E86" t="s">
        <v>46</v>
      </c>
      <c r="F86" t="s">
        <v>16</v>
      </c>
      <c r="G86" t="s">
        <v>60</v>
      </c>
      <c r="H86">
        <v>8</v>
      </c>
      <c r="I86">
        <v>250</v>
      </c>
      <c r="J86">
        <f t="shared" si="2"/>
        <v>2000</v>
      </c>
      <c r="K86">
        <f>J86*0.74</f>
        <v>1480</v>
      </c>
      <c r="L86">
        <f t="shared" si="3"/>
        <v>520</v>
      </c>
    </row>
    <row r="87" spans="1:12" x14ac:dyDescent="0.3">
      <c r="A87" t="s">
        <v>144</v>
      </c>
      <c r="B87" s="2">
        <v>45692</v>
      </c>
      <c r="C87" t="s">
        <v>50</v>
      </c>
      <c r="D87" t="s">
        <v>86</v>
      </c>
      <c r="E87" t="s">
        <v>35</v>
      </c>
      <c r="F87" t="s">
        <v>16</v>
      </c>
      <c r="G87" t="s">
        <v>17</v>
      </c>
      <c r="H87">
        <v>10</v>
      </c>
      <c r="I87">
        <v>300</v>
      </c>
      <c r="J87">
        <f t="shared" si="2"/>
        <v>3000</v>
      </c>
      <c r="K87">
        <f>J87*0.79</f>
        <v>2370</v>
      </c>
      <c r="L87">
        <f t="shared" si="3"/>
        <v>630</v>
      </c>
    </row>
    <row r="88" spans="1:12" x14ac:dyDescent="0.3">
      <c r="A88" t="s">
        <v>145</v>
      </c>
      <c r="B88" s="2">
        <v>45926</v>
      </c>
      <c r="C88" t="s">
        <v>13</v>
      </c>
      <c r="D88" t="s">
        <v>64</v>
      </c>
      <c r="E88" t="s">
        <v>20</v>
      </c>
      <c r="F88" t="s">
        <v>26</v>
      </c>
      <c r="G88" t="s">
        <v>111</v>
      </c>
      <c r="H88">
        <v>15</v>
      </c>
      <c r="I88">
        <v>85000</v>
      </c>
      <c r="J88">
        <f t="shared" si="2"/>
        <v>1275000</v>
      </c>
      <c r="K88">
        <f>J88*0.78</f>
        <v>994500</v>
      </c>
      <c r="L88">
        <f t="shared" si="3"/>
        <v>280500</v>
      </c>
    </row>
    <row r="89" spans="1:12" x14ac:dyDescent="0.3">
      <c r="A89" t="s">
        <v>146</v>
      </c>
      <c r="B89" s="2">
        <v>45706</v>
      </c>
      <c r="C89" t="s">
        <v>50</v>
      </c>
      <c r="D89" t="s">
        <v>83</v>
      </c>
      <c r="E89" t="s">
        <v>46</v>
      </c>
      <c r="F89" t="s">
        <v>26</v>
      </c>
      <c r="G89" t="s">
        <v>52</v>
      </c>
      <c r="H89">
        <v>4</v>
      </c>
      <c r="I89">
        <v>35000</v>
      </c>
      <c r="J89">
        <f t="shared" si="2"/>
        <v>140000</v>
      </c>
      <c r="K89">
        <f>J89*0.77</f>
        <v>107800</v>
      </c>
      <c r="L89">
        <f t="shared" si="3"/>
        <v>32200</v>
      </c>
    </row>
    <row r="90" spans="1:12" x14ac:dyDescent="0.3">
      <c r="A90" t="s">
        <v>147</v>
      </c>
      <c r="B90" s="2">
        <v>45770</v>
      </c>
      <c r="C90" t="s">
        <v>59</v>
      </c>
      <c r="D90" t="s">
        <v>72</v>
      </c>
      <c r="E90" t="s">
        <v>20</v>
      </c>
      <c r="F90" t="s">
        <v>26</v>
      </c>
      <c r="G90" t="s">
        <v>94</v>
      </c>
      <c r="H90">
        <v>16</v>
      </c>
      <c r="I90">
        <v>28000</v>
      </c>
      <c r="J90">
        <f t="shared" si="2"/>
        <v>448000</v>
      </c>
      <c r="K90">
        <f>J90*0.75</f>
        <v>336000</v>
      </c>
      <c r="L90">
        <f t="shared" si="3"/>
        <v>112000</v>
      </c>
    </row>
    <row r="91" spans="1:12" x14ac:dyDescent="0.3">
      <c r="A91" t="s">
        <v>148</v>
      </c>
      <c r="B91" s="2">
        <v>45918</v>
      </c>
      <c r="C91" t="s">
        <v>13</v>
      </c>
      <c r="D91" t="s">
        <v>19</v>
      </c>
      <c r="E91" t="s">
        <v>15</v>
      </c>
      <c r="F91" t="s">
        <v>16</v>
      </c>
      <c r="G91" t="s">
        <v>78</v>
      </c>
      <c r="H91">
        <v>13</v>
      </c>
      <c r="I91">
        <v>800</v>
      </c>
      <c r="J91">
        <f t="shared" si="2"/>
        <v>10400</v>
      </c>
      <c r="K91">
        <f>J91*0.82</f>
        <v>8528</v>
      </c>
      <c r="L91">
        <f t="shared" si="3"/>
        <v>1872</v>
      </c>
    </row>
    <row r="92" spans="1:12" x14ac:dyDescent="0.3">
      <c r="A92" t="s">
        <v>149</v>
      </c>
      <c r="B92" s="2">
        <v>45729</v>
      </c>
      <c r="C92" t="s">
        <v>63</v>
      </c>
      <c r="D92" t="s">
        <v>39</v>
      </c>
      <c r="E92" t="s">
        <v>20</v>
      </c>
      <c r="F92" t="s">
        <v>21</v>
      </c>
      <c r="G92" t="s">
        <v>54</v>
      </c>
      <c r="H92">
        <v>5</v>
      </c>
      <c r="I92">
        <v>18000</v>
      </c>
      <c r="J92">
        <f t="shared" si="2"/>
        <v>90000</v>
      </c>
      <c r="K92">
        <f>J92*0.73</f>
        <v>65700</v>
      </c>
      <c r="L92">
        <f t="shared" si="3"/>
        <v>24300</v>
      </c>
    </row>
    <row r="93" spans="1:12" x14ac:dyDescent="0.3">
      <c r="A93" t="s">
        <v>150</v>
      </c>
      <c r="B93" s="2">
        <v>45776</v>
      </c>
      <c r="C93" t="s">
        <v>59</v>
      </c>
      <c r="D93" t="s">
        <v>39</v>
      </c>
      <c r="E93" t="s">
        <v>15</v>
      </c>
      <c r="F93" t="s">
        <v>26</v>
      </c>
      <c r="G93" t="s">
        <v>127</v>
      </c>
      <c r="H93">
        <v>2</v>
      </c>
      <c r="I93">
        <v>1500</v>
      </c>
      <c r="J93">
        <f t="shared" si="2"/>
        <v>3000</v>
      </c>
      <c r="K93">
        <f>J93*0.78</f>
        <v>2340</v>
      </c>
      <c r="L93">
        <f t="shared" si="3"/>
        <v>660</v>
      </c>
    </row>
    <row r="94" spans="1:12" x14ac:dyDescent="0.3">
      <c r="A94" t="s">
        <v>151</v>
      </c>
      <c r="B94" s="2">
        <v>45965</v>
      </c>
      <c r="C94" t="s">
        <v>32</v>
      </c>
      <c r="D94" t="s">
        <v>83</v>
      </c>
      <c r="E94" t="s">
        <v>15</v>
      </c>
      <c r="F94" t="s">
        <v>26</v>
      </c>
      <c r="G94" t="s">
        <v>27</v>
      </c>
      <c r="H94">
        <v>18</v>
      </c>
      <c r="I94">
        <v>45000</v>
      </c>
      <c r="J94">
        <f t="shared" si="2"/>
        <v>810000</v>
      </c>
      <c r="K94">
        <f>J94*0.73</f>
        <v>591300</v>
      </c>
      <c r="L94">
        <f t="shared" si="3"/>
        <v>218700</v>
      </c>
    </row>
    <row r="95" spans="1:12" x14ac:dyDescent="0.3">
      <c r="A95" t="s">
        <v>152</v>
      </c>
      <c r="B95" s="2">
        <v>45744</v>
      </c>
      <c r="C95" t="s">
        <v>63</v>
      </c>
      <c r="D95" t="s">
        <v>19</v>
      </c>
      <c r="E95" t="s">
        <v>30</v>
      </c>
      <c r="F95" t="s">
        <v>26</v>
      </c>
      <c r="G95" t="s">
        <v>127</v>
      </c>
      <c r="H95">
        <v>14</v>
      </c>
      <c r="I95">
        <v>1500</v>
      </c>
      <c r="J95">
        <f t="shared" si="2"/>
        <v>21000</v>
      </c>
      <c r="K95">
        <f>J95*0.73</f>
        <v>15330</v>
      </c>
      <c r="L95">
        <f t="shared" si="3"/>
        <v>5670</v>
      </c>
    </row>
    <row r="96" spans="1:12" x14ac:dyDescent="0.3">
      <c r="A96" t="s">
        <v>153</v>
      </c>
      <c r="B96" s="2">
        <v>46021</v>
      </c>
      <c r="C96" t="s">
        <v>24</v>
      </c>
      <c r="D96" t="s">
        <v>19</v>
      </c>
      <c r="E96" t="s">
        <v>15</v>
      </c>
      <c r="F96" t="s">
        <v>21</v>
      </c>
      <c r="G96" t="s">
        <v>22</v>
      </c>
      <c r="H96">
        <v>3</v>
      </c>
      <c r="I96">
        <v>15000</v>
      </c>
      <c r="J96">
        <f t="shared" si="2"/>
        <v>45000</v>
      </c>
      <c r="K96">
        <f>J96*0.76</f>
        <v>34200</v>
      </c>
      <c r="L96">
        <f t="shared" si="3"/>
        <v>10800</v>
      </c>
    </row>
    <row r="97" spans="1:12" x14ac:dyDescent="0.3">
      <c r="A97" t="s">
        <v>154</v>
      </c>
      <c r="B97" s="2">
        <v>45779</v>
      </c>
      <c r="C97" t="s">
        <v>48</v>
      </c>
      <c r="D97" t="s">
        <v>51</v>
      </c>
      <c r="E97" t="s">
        <v>30</v>
      </c>
      <c r="F97" t="s">
        <v>26</v>
      </c>
      <c r="G97" t="s">
        <v>111</v>
      </c>
      <c r="H97">
        <v>19</v>
      </c>
      <c r="I97">
        <v>85000</v>
      </c>
      <c r="J97">
        <f t="shared" si="2"/>
        <v>1615000</v>
      </c>
      <c r="K97">
        <f>J97*0.83</f>
        <v>1340450</v>
      </c>
      <c r="L97">
        <f t="shared" si="3"/>
        <v>274550</v>
      </c>
    </row>
    <row r="98" spans="1:12" x14ac:dyDescent="0.3">
      <c r="A98" t="s">
        <v>155</v>
      </c>
      <c r="B98" s="2">
        <v>45904</v>
      </c>
      <c r="C98" t="s">
        <v>13</v>
      </c>
      <c r="D98" t="s">
        <v>25</v>
      </c>
      <c r="E98" t="s">
        <v>30</v>
      </c>
      <c r="F98" t="s">
        <v>21</v>
      </c>
      <c r="G98" t="s">
        <v>54</v>
      </c>
      <c r="H98">
        <v>6</v>
      </c>
      <c r="I98">
        <v>18000</v>
      </c>
      <c r="J98">
        <f t="shared" si="2"/>
        <v>108000</v>
      </c>
      <c r="K98">
        <f>J98*0.7</f>
        <v>75600</v>
      </c>
      <c r="L98">
        <f t="shared" si="3"/>
        <v>32400</v>
      </c>
    </row>
    <row r="99" spans="1:12" x14ac:dyDescent="0.3">
      <c r="A99" t="s">
        <v>156</v>
      </c>
      <c r="B99" s="2">
        <v>45963</v>
      </c>
      <c r="C99" t="s">
        <v>32</v>
      </c>
      <c r="D99" t="s">
        <v>83</v>
      </c>
      <c r="E99" t="s">
        <v>15</v>
      </c>
      <c r="F99" t="s">
        <v>16</v>
      </c>
      <c r="G99" t="s">
        <v>92</v>
      </c>
      <c r="H99">
        <v>15</v>
      </c>
      <c r="I99">
        <v>1200</v>
      </c>
      <c r="J99">
        <f t="shared" si="2"/>
        <v>18000</v>
      </c>
      <c r="K99">
        <f>J99*0.84</f>
        <v>15120</v>
      </c>
      <c r="L99">
        <f t="shared" si="3"/>
        <v>2880</v>
      </c>
    </row>
    <row r="100" spans="1:12" x14ac:dyDescent="0.3">
      <c r="A100" t="s">
        <v>157</v>
      </c>
      <c r="B100" s="2">
        <v>45740</v>
      </c>
      <c r="C100" t="s">
        <v>63</v>
      </c>
      <c r="D100" t="s">
        <v>64</v>
      </c>
      <c r="E100" t="s">
        <v>35</v>
      </c>
      <c r="F100" t="s">
        <v>26</v>
      </c>
      <c r="G100" t="s">
        <v>52</v>
      </c>
      <c r="H100">
        <v>19</v>
      </c>
      <c r="I100">
        <v>35000</v>
      </c>
      <c r="J100">
        <f t="shared" si="2"/>
        <v>665000</v>
      </c>
      <c r="K100">
        <f>J100*0.73</f>
        <v>485450</v>
      </c>
      <c r="L100">
        <f t="shared" si="3"/>
        <v>179550</v>
      </c>
    </row>
    <row r="101" spans="1:12" x14ac:dyDescent="0.3">
      <c r="A101" t="s">
        <v>158</v>
      </c>
      <c r="B101" s="2">
        <v>45700</v>
      </c>
      <c r="C101" t="s">
        <v>50</v>
      </c>
      <c r="D101" t="s">
        <v>19</v>
      </c>
      <c r="E101" t="s">
        <v>35</v>
      </c>
      <c r="F101" t="s">
        <v>21</v>
      </c>
      <c r="G101" t="s">
        <v>65</v>
      </c>
      <c r="H101">
        <v>16</v>
      </c>
      <c r="I101">
        <v>22000</v>
      </c>
      <c r="J101">
        <f t="shared" si="2"/>
        <v>352000</v>
      </c>
      <c r="K101">
        <f>J101*0.74</f>
        <v>260480</v>
      </c>
      <c r="L101">
        <f t="shared" si="3"/>
        <v>91520</v>
      </c>
    </row>
    <row r="102" spans="1:12" x14ac:dyDescent="0.3">
      <c r="A102" t="s">
        <v>159</v>
      </c>
      <c r="B102" s="2">
        <v>45951</v>
      </c>
      <c r="C102" t="s">
        <v>38</v>
      </c>
      <c r="D102" t="s">
        <v>64</v>
      </c>
      <c r="E102" t="s">
        <v>35</v>
      </c>
      <c r="F102" t="s">
        <v>26</v>
      </c>
      <c r="G102" t="s">
        <v>69</v>
      </c>
      <c r="H102">
        <v>18</v>
      </c>
      <c r="I102">
        <v>2500</v>
      </c>
      <c r="J102">
        <f t="shared" si="2"/>
        <v>45000</v>
      </c>
      <c r="K102">
        <f>J102*0.84</f>
        <v>37800</v>
      </c>
      <c r="L102">
        <f t="shared" si="3"/>
        <v>7200</v>
      </c>
    </row>
    <row r="103" spans="1:12" x14ac:dyDescent="0.3">
      <c r="A103" t="s">
        <v>160</v>
      </c>
      <c r="B103" s="2">
        <v>45804</v>
      </c>
      <c r="C103" t="s">
        <v>48</v>
      </c>
      <c r="D103" t="s">
        <v>64</v>
      </c>
      <c r="E103" t="s">
        <v>46</v>
      </c>
      <c r="F103" t="s">
        <v>16</v>
      </c>
      <c r="G103" t="s">
        <v>36</v>
      </c>
      <c r="H103">
        <v>17</v>
      </c>
      <c r="I103">
        <v>150</v>
      </c>
      <c r="J103">
        <f t="shared" si="2"/>
        <v>2550</v>
      </c>
      <c r="K103">
        <f>J103*0.75</f>
        <v>1912.5</v>
      </c>
      <c r="L103">
        <f t="shared" si="3"/>
        <v>637.5</v>
      </c>
    </row>
    <row r="104" spans="1:12" x14ac:dyDescent="0.3">
      <c r="A104" t="s">
        <v>161</v>
      </c>
      <c r="B104" s="2">
        <v>45981</v>
      </c>
      <c r="C104" t="s">
        <v>32</v>
      </c>
      <c r="D104" t="s">
        <v>39</v>
      </c>
      <c r="E104" t="s">
        <v>15</v>
      </c>
      <c r="F104" t="s">
        <v>21</v>
      </c>
      <c r="G104" t="s">
        <v>54</v>
      </c>
      <c r="H104">
        <v>9</v>
      </c>
      <c r="I104">
        <v>18000</v>
      </c>
      <c r="J104">
        <f t="shared" si="2"/>
        <v>162000</v>
      </c>
      <c r="K104">
        <f>J104*0.8</f>
        <v>129600</v>
      </c>
      <c r="L104">
        <f t="shared" si="3"/>
        <v>32400</v>
      </c>
    </row>
    <row r="105" spans="1:12" x14ac:dyDescent="0.3">
      <c r="A105" t="s">
        <v>162</v>
      </c>
      <c r="B105" s="2">
        <v>45794</v>
      </c>
      <c r="C105" t="s">
        <v>48</v>
      </c>
      <c r="D105" t="s">
        <v>64</v>
      </c>
      <c r="E105" t="s">
        <v>46</v>
      </c>
      <c r="F105" t="s">
        <v>16</v>
      </c>
      <c r="G105" t="s">
        <v>17</v>
      </c>
      <c r="H105">
        <v>18</v>
      </c>
      <c r="I105">
        <v>300</v>
      </c>
      <c r="J105">
        <f t="shared" si="2"/>
        <v>5400</v>
      </c>
      <c r="K105">
        <f>J105*0.83</f>
        <v>4482</v>
      </c>
      <c r="L105">
        <f t="shared" si="3"/>
        <v>918</v>
      </c>
    </row>
    <row r="106" spans="1:12" x14ac:dyDescent="0.3">
      <c r="A106" t="s">
        <v>163</v>
      </c>
      <c r="B106" s="2">
        <v>45933</v>
      </c>
      <c r="C106" t="s">
        <v>38</v>
      </c>
      <c r="D106" t="s">
        <v>39</v>
      </c>
      <c r="E106" t="s">
        <v>46</v>
      </c>
      <c r="F106" t="s">
        <v>16</v>
      </c>
      <c r="G106" t="s">
        <v>60</v>
      </c>
      <c r="H106">
        <v>19</v>
      </c>
      <c r="I106">
        <v>250</v>
      </c>
      <c r="J106">
        <f t="shared" si="2"/>
        <v>4750</v>
      </c>
      <c r="K106">
        <f>J106*0.85</f>
        <v>4037.5</v>
      </c>
      <c r="L106">
        <f t="shared" si="3"/>
        <v>712.5</v>
      </c>
    </row>
    <row r="107" spans="1:12" x14ac:dyDescent="0.3">
      <c r="A107" t="s">
        <v>164</v>
      </c>
      <c r="B107" s="2">
        <v>45891</v>
      </c>
      <c r="C107" t="s">
        <v>57</v>
      </c>
      <c r="D107" t="s">
        <v>33</v>
      </c>
      <c r="E107" t="s">
        <v>20</v>
      </c>
      <c r="F107" t="s">
        <v>16</v>
      </c>
      <c r="G107" t="s">
        <v>36</v>
      </c>
      <c r="H107">
        <v>4</v>
      </c>
      <c r="I107">
        <v>150</v>
      </c>
      <c r="J107">
        <f t="shared" si="2"/>
        <v>600</v>
      </c>
      <c r="K107">
        <f>J107*0.75</f>
        <v>450</v>
      </c>
      <c r="L107">
        <f t="shared" si="3"/>
        <v>150</v>
      </c>
    </row>
    <row r="108" spans="1:12" x14ac:dyDescent="0.3">
      <c r="A108" t="s">
        <v>165</v>
      </c>
      <c r="B108" s="2">
        <v>45876</v>
      </c>
      <c r="C108" t="s">
        <v>57</v>
      </c>
      <c r="D108" t="s">
        <v>86</v>
      </c>
      <c r="E108" t="s">
        <v>35</v>
      </c>
      <c r="F108" t="s">
        <v>16</v>
      </c>
      <c r="G108" t="s">
        <v>17</v>
      </c>
      <c r="H108">
        <v>6</v>
      </c>
      <c r="I108">
        <v>300</v>
      </c>
      <c r="J108">
        <f t="shared" si="2"/>
        <v>1800</v>
      </c>
      <c r="K108">
        <f>J108*0.8</f>
        <v>1440</v>
      </c>
      <c r="L108">
        <f t="shared" si="3"/>
        <v>360</v>
      </c>
    </row>
    <row r="109" spans="1:12" x14ac:dyDescent="0.3">
      <c r="A109" t="s">
        <v>166</v>
      </c>
      <c r="B109" s="2">
        <v>45782</v>
      </c>
      <c r="C109" t="s">
        <v>48</v>
      </c>
      <c r="D109" t="s">
        <v>72</v>
      </c>
      <c r="E109" t="s">
        <v>35</v>
      </c>
      <c r="F109" t="s">
        <v>21</v>
      </c>
      <c r="G109" t="s">
        <v>40</v>
      </c>
      <c r="H109">
        <v>8</v>
      </c>
      <c r="I109">
        <v>5000</v>
      </c>
      <c r="J109">
        <f t="shared" si="2"/>
        <v>40000</v>
      </c>
      <c r="K109">
        <f>J109*0.71</f>
        <v>28400</v>
      </c>
      <c r="L109">
        <f t="shared" si="3"/>
        <v>11600</v>
      </c>
    </row>
    <row r="110" spans="1:12" x14ac:dyDescent="0.3">
      <c r="A110" t="s">
        <v>167</v>
      </c>
      <c r="B110" s="2">
        <v>45883</v>
      </c>
      <c r="C110" t="s">
        <v>57</v>
      </c>
      <c r="D110" t="s">
        <v>25</v>
      </c>
      <c r="E110" t="s">
        <v>15</v>
      </c>
      <c r="F110" t="s">
        <v>16</v>
      </c>
      <c r="G110" t="s">
        <v>78</v>
      </c>
      <c r="H110">
        <v>1</v>
      </c>
      <c r="I110">
        <v>800</v>
      </c>
      <c r="J110">
        <f t="shared" si="2"/>
        <v>800</v>
      </c>
      <c r="K110">
        <f>J110*0.83</f>
        <v>664</v>
      </c>
      <c r="L110">
        <f t="shared" si="3"/>
        <v>136</v>
      </c>
    </row>
    <row r="111" spans="1:12" x14ac:dyDescent="0.3">
      <c r="A111" t="s">
        <v>168</v>
      </c>
      <c r="B111" s="2">
        <v>45728</v>
      </c>
      <c r="C111" t="s">
        <v>63</v>
      </c>
      <c r="D111" t="s">
        <v>51</v>
      </c>
      <c r="E111" t="s">
        <v>46</v>
      </c>
      <c r="F111" t="s">
        <v>26</v>
      </c>
      <c r="G111" t="s">
        <v>69</v>
      </c>
      <c r="H111">
        <v>19</v>
      </c>
      <c r="I111">
        <v>2500</v>
      </c>
      <c r="J111">
        <f t="shared" si="2"/>
        <v>47500</v>
      </c>
      <c r="K111">
        <f>J111*0.73</f>
        <v>34675</v>
      </c>
      <c r="L111">
        <f t="shared" si="3"/>
        <v>12825</v>
      </c>
    </row>
    <row r="112" spans="1:12" x14ac:dyDescent="0.3">
      <c r="A112" t="s">
        <v>169</v>
      </c>
      <c r="B112" s="2">
        <v>45975</v>
      </c>
      <c r="C112" t="s">
        <v>32</v>
      </c>
      <c r="D112" t="s">
        <v>64</v>
      </c>
      <c r="E112" t="s">
        <v>15</v>
      </c>
      <c r="F112" t="s">
        <v>21</v>
      </c>
      <c r="G112" t="s">
        <v>40</v>
      </c>
      <c r="H112">
        <v>12</v>
      </c>
      <c r="I112">
        <v>5000</v>
      </c>
      <c r="J112">
        <f t="shared" si="2"/>
        <v>60000</v>
      </c>
      <c r="K112">
        <f>J112*0.81</f>
        <v>48600</v>
      </c>
      <c r="L112">
        <f t="shared" si="3"/>
        <v>11400</v>
      </c>
    </row>
    <row r="113" spans="1:12" x14ac:dyDescent="0.3">
      <c r="A113" t="s">
        <v>170</v>
      </c>
      <c r="B113" s="2">
        <v>45888</v>
      </c>
      <c r="C113" t="s">
        <v>57</v>
      </c>
      <c r="D113" t="s">
        <v>51</v>
      </c>
      <c r="E113" t="s">
        <v>46</v>
      </c>
      <c r="F113" t="s">
        <v>16</v>
      </c>
      <c r="G113" t="s">
        <v>36</v>
      </c>
      <c r="H113">
        <v>7</v>
      </c>
      <c r="I113">
        <v>150</v>
      </c>
      <c r="J113">
        <f t="shared" si="2"/>
        <v>1050</v>
      </c>
      <c r="K113">
        <f>J113*0.7</f>
        <v>735</v>
      </c>
      <c r="L113">
        <f t="shared" si="3"/>
        <v>315</v>
      </c>
    </row>
    <row r="114" spans="1:12" x14ac:dyDescent="0.3">
      <c r="A114" t="s">
        <v>171</v>
      </c>
      <c r="B114" s="2">
        <v>45905</v>
      </c>
      <c r="C114" t="s">
        <v>13</v>
      </c>
      <c r="D114" t="s">
        <v>86</v>
      </c>
      <c r="E114" t="s">
        <v>20</v>
      </c>
      <c r="F114" t="s">
        <v>21</v>
      </c>
      <c r="G114" t="s">
        <v>22</v>
      </c>
      <c r="H114">
        <v>6</v>
      </c>
      <c r="I114">
        <v>15000</v>
      </c>
      <c r="J114">
        <f t="shared" si="2"/>
        <v>90000</v>
      </c>
      <c r="K114">
        <f>J114*0.8</f>
        <v>72000</v>
      </c>
      <c r="L114">
        <f t="shared" si="3"/>
        <v>18000</v>
      </c>
    </row>
    <row r="115" spans="1:12" x14ac:dyDescent="0.3">
      <c r="A115" t="s">
        <v>172</v>
      </c>
      <c r="B115" s="2">
        <v>45712</v>
      </c>
      <c r="C115" t="s">
        <v>50</v>
      </c>
      <c r="D115" t="s">
        <v>19</v>
      </c>
      <c r="E115" t="s">
        <v>46</v>
      </c>
      <c r="F115" t="s">
        <v>21</v>
      </c>
      <c r="G115" t="s">
        <v>65</v>
      </c>
      <c r="H115">
        <v>9</v>
      </c>
      <c r="I115">
        <v>22000</v>
      </c>
      <c r="J115">
        <f t="shared" si="2"/>
        <v>198000</v>
      </c>
      <c r="K115">
        <f>J115*0.82</f>
        <v>162360</v>
      </c>
      <c r="L115">
        <f t="shared" si="3"/>
        <v>35640</v>
      </c>
    </row>
    <row r="116" spans="1:12" x14ac:dyDescent="0.3">
      <c r="A116" t="s">
        <v>173</v>
      </c>
      <c r="B116" s="2">
        <v>45782</v>
      </c>
      <c r="C116" t="s">
        <v>48</v>
      </c>
      <c r="D116" t="s">
        <v>25</v>
      </c>
      <c r="E116" t="s">
        <v>20</v>
      </c>
      <c r="F116" t="s">
        <v>21</v>
      </c>
      <c r="G116" t="s">
        <v>54</v>
      </c>
      <c r="H116">
        <v>9</v>
      </c>
      <c r="I116">
        <v>18000</v>
      </c>
      <c r="J116">
        <f t="shared" si="2"/>
        <v>162000</v>
      </c>
      <c r="K116">
        <f>J116*0.8</f>
        <v>129600</v>
      </c>
      <c r="L116">
        <f t="shared" si="3"/>
        <v>32400</v>
      </c>
    </row>
    <row r="117" spans="1:12" x14ac:dyDescent="0.3">
      <c r="A117" t="s">
        <v>174</v>
      </c>
      <c r="B117" s="2">
        <v>45718</v>
      </c>
      <c r="C117" t="s">
        <v>63</v>
      </c>
      <c r="D117" t="s">
        <v>72</v>
      </c>
      <c r="E117" t="s">
        <v>35</v>
      </c>
      <c r="F117" t="s">
        <v>21</v>
      </c>
      <c r="G117" t="s">
        <v>74</v>
      </c>
      <c r="H117">
        <v>14</v>
      </c>
      <c r="I117">
        <v>12000</v>
      </c>
      <c r="J117">
        <f t="shared" si="2"/>
        <v>168000</v>
      </c>
      <c r="K117">
        <f>J117*0.76</f>
        <v>127680</v>
      </c>
      <c r="L117">
        <f t="shared" si="3"/>
        <v>40320</v>
      </c>
    </row>
    <row r="118" spans="1:12" x14ac:dyDescent="0.3">
      <c r="A118" t="s">
        <v>175</v>
      </c>
      <c r="B118" s="2">
        <v>45822</v>
      </c>
      <c r="C118" t="s">
        <v>43</v>
      </c>
      <c r="D118" t="s">
        <v>64</v>
      </c>
      <c r="E118" t="s">
        <v>35</v>
      </c>
      <c r="F118" t="s">
        <v>21</v>
      </c>
      <c r="G118" t="s">
        <v>65</v>
      </c>
      <c r="H118">
        <v>19</v>
      </c>
      <c r="I118">
        <v>22000</v>
      </c>
      <c r="J118">
        <f t="shared" si="2"/>
        <v>418000</v>
      </c>
      <c r="K118">
        <f>J118*0.8</f>
        <v>334400</v>
      </c>
      <c r="L118">
        <f t="shared" si="3"/>
        <v>83600</v>
      </c>
    </row>
    <row r="119" spans="1:12" x14ac:dyDescent="0.3">
      <c r="A119" t="s">
        <v>176</v>
      </c>
      <c r="B119" s="2">
        <v>46003</v>
      </c>
      <c r="C119" t="s">
        <v>24</v>
      </c>
      <c r="D119" t="s">
        <v>33</v>
      </c>
      <c r="E119" t="s">
        <v>20</v>
      </c>
      <c r="F119" t="s">
        <v>26</v>
      </c>
      <c r="G119" t="s">
        <v>69</v>
      </c>
      <c r="H119">
        <v>16</v>
      </c>
      <c r="I119">
        <v>2500</v>
      </c>
      <c r="J119">
        <f t="shared" si="2"/>
        <v>40000</v>
      </c>
      <c r="K119">
        <f>J119*0.83</f>
        <v>33200</v>
      </c>
      <c r="L119">
        <f t="shared" si="3"/>
        <v>6800</v>
      </c>
    </row>
    <row r="120" spans="1:12" x14ac:dyDescent="0.3">
      <c r="A120" t="s">
        <v>177</v>
      </c>
      <c r="B120" s="2">
        <v>45667</v>
      </c>
      <c r="C120" t="s">
        <v>29</v>
      </c>
      <c r="D120" t="s">
        <v>64</v>
      </c>
      <c r="E120" t="s">
        <v>46</v>
      </c>
      <c r="F120" t="s">
        <v>26</v>
      </c>
      <c r="G120" t="s">
        <v>44</v>
      </c>
      <c r="H120">
        <v>3</v>
      </c>
      <c r="I120">
        <v>25000</v>
      </c>
      <c r="J120">
        <f t="shared" si="2"/>
        <v>75000</v>
      </c>
      <c r="K120">
        <f>J120*0.76</f>
        <v>57000</v>
      </c>
      <c r="L120">
        <f t="shared" si="3"/>
        <v>18000</v>
      </c>
    </row>
    <row r="121" spans="1:12" x14ac:dyDescent="0.3">
      <c r="A121" t="s">
        <v>178</v>
      </c>
      <c r="B121" s="2">
        <v>45973</v>
      </c>
      <c r="C121" t="s">
        <v>32</v>
      </c>
      <c r="D121" t="s">
        <v>86</v>
      </c>
      <c r="E121" t="s">
        <v>46</v>
      </c>
      <c r="F121" t="s">
        <v>16</v>
      </c>
      <c r="G121" t="s">
        <v>78</v>
      </c>
      <c r="H121">
        <v>9</v>
      </c>
      <c r="I121">
        <v>800</v>
      </c>
      <c r="J121">
        <f t="shared" si="2"/>
        <v>7200</v>
      </c>
      <c r="K121">
        <f>J121*0.75</f>
        <v>5400</v>
      </c>
      <c r="L121">
        <f t="shared" si="3"/>
        <v>1800</v>
      </c>
    </row>
    <row r="122" spans="1:12" x14ac:dyDescent="0.3">
      <c r="A122" t="s">
        <v>179</v>
      </c>
      <c r="B122" s="2">
        <v>46006</v>
      </c>
      <c r="C122" t="s">
        <v>24</v>
      </c>
      <c r="D122" t="s">
        <v>33</v>
      </c>
      <c r="E122" t="s">
        <v>15</v>
      </c>
      <c r="F122" t="s">
        <v>21</v>
      </c>
      <c r="G122" t="s">
        <v>65</v>
      </c>
      <c r="H122">
        <v>14</v>
      </c>
      <c r="I122">
        <v>22000</v>
      </c>
      <c r="J122">
        <f t="shared" si="2"/>
        <v>308000</v>
      </c>
      <c r="K122">
        <f>J122*0.84</f>
        <v>258720</v>
      </c>
      <c r="L122">
        <f t="shared" si="3"/>
        <v>49280</v>
      </c>
    </row>
    <row r="123" spans="1:12" x14ac:dyDescent="0.3">
      <c r="A123" t="s">
        <v>180</v>
      </c>
      <c r="B123" s="2">
        <v>45713</v>
      </c>
      <c r="C123" t="s">
        <v>50</v>
      </c>
      <c r="D123" t="s">
        <v>72</v>
      </c>
      <c r="E123" t="s">
        <v>35</v>
      </c>
      <c r="F123" t="s">
        <v>26</v>
      </c>
      <c r="G123" t="s">
        <v>27</v>
      </c>
      <c r="H123">
        <v>11</v>
      </c>
      <c r="I123">
        <v>45000</v>
      </c>
      <c r="J123">
        <f t="shared" si="2"/>
        <v>495000</v>
      </c>
      <c r="K123">
        <f>J123*0.73</f>
        <v>361350</v>
      </c>
      <c r="L123">
        <f t="shared" si="3"/>
        <v>133650</v>
      </c>
    </row>
    <row r="124" spans="1:12" x14ac:dyDescent="0.3">
      <c r="A124" t="s">
        <v>181</v>
      </c>
      <c r="B124" s="2">
        <v>46008</v>
      </c>
      <c r="C124" t="s">
        <v>24</v>
      </c>
      <c r="D124" t="s">
        <v>39</v>
      </c>
      <c r="E124" t="s">
        <v>30</v>
      </c>
      <c r="F124" t="s">
        <v>16</v>
      </c>
      <c r="G124" t="s">
        <v>92</v>
      </c>
      <c r="H124">
        <v>1</v>
      </c>
      <c r="I124">
        <v>1200</v>
      </c>
      <c r="J124">
        <f t="shared" si="2"/>
        <v>1200</v>
      </c>
      <c r="K124">
        <f>J124*0.78</f>
        <v>936</v>
      </c>
      <c r="L124">
        <f t="shared" si="3"/>
        <v>264</v>
      </c>
    </row>
    <row r="125" spans="1:12" x14ac:dyDescent="0.3">
      <c r="A125" t="s">
        <v>182</v>
      </c>
      <c r="B125" s="2">
        <v>45996</v>
      </c>
      <c r="C125" t="s">
        <v>24</v>
      </c>
      <c r="D125" t="s">
        <v>64</v>
      </c>
      <c r="E125" t="s">
        <v>35</v>
      </c>
      <c r="F125" t="s">
        <v>21</v>
      </c>
      <c r="G125" t="s">
        <v>54</v>
      </c>
      <c r="H125">
        <v>19</v>
      </c>
      <c r="I125">
        <v>18000</v>
      </c>
      <c r="J125">
        <f t="shared" si="2"/>
        <v>342000</v>
      </c>
      <c r="K125">
        <f>J125*0.79</f>
        <v>270180</v>
      </c>
      <c r="L125">
        <f t="shared" si="3"/>
        <v>71820</v>
      </c>
    </row>
    <row r="126" spans="1:12" x14ac:dyDescent="0.3">
      <c r="A126" t="s">
        <v>183</v>
      </c>
      <c r="B126" s="2">
        <v>45681</v>
      </c>
      <c r="C126" t="s">
        <v>29</v>
      </c>
      <c r="D126" t="s">
        <v>51</v>
      </c>
      <c r="E126" t="s">
        <v>35</v>
      </c>
      <c r="F126" t="s">
        <v>16</v>
      </c>
      <c r="G126" t="s">
        <v>17</v>
      </c>
      <c r="H126">
        <v>17</v>
      </c>
      <c r="I126">
        <v>300</v>
      </c>
      <c r="J126">
        <f t="shared" si="2"/>
        <v>5100</v>
      </c>
      <c r="K126">
        <f>J126*0.84</f>
        <v>4284</v>
      </c>
      <c r="L126">
        <f t="shared" si="3"/>
        <v>816</v>
      </c>
    </row>
    <row r="127" spans="1:12" x14ac:dyDescent="0.3">
      <c r="A127" t="s">
        <v>184</v>
      </c>
      <c r="B127" s="2">
        <v>45817</v>
      </c>
      <c r="C127" t="s">
        <v>43</v>
      </c>
      <c r="D127" t="s">
        <v>39</v>
      </c>
      <c r="E127" t="s">
        <v>30</v>
      </c>
      <c r="F127" t="s">
        <v>21</v>
      </c>
      <c r="G127" t="s">
        <v>54</v>
      </c>
      <c r="H127">
        <v>13</v>
      </c>
      <c r="I127">
        <v>18000</v>
      </c>
      <c r="J127">
        <f t="shared" si="2"/>
        <v>234000</v>
      </c>
      <c r="K127">
        <f>J127*0.7</f>
        <v>163800</v>
      </c>
      <c r="L127">
        <f t="shared" si="3"/>
        <v>70200</v>
      </c>
    </row>
    <row r="128" spans="1:12" x14ac:dyDescent="0.3">
      <c r="A128" t="s">
        <v>185</v>
      </c>
      <c r="B128" s="2">
        <v>45699</v>
      </c>
      <c r="C128" t="s">
        <v>50</v>
      </c>
      <c r="D128" t="s">
        <v>14</v>
      </c>
      <c r="E128" t="s">
        <v>30</v>
      </c>
      <c r="F128" t="s">
        <v>21</v>
      </c>
      <c r="G128" t="s">
        <v>65</v>
      </c>
      <c r="H128">
        <v>9</v>
      </c>
      <c r="I128">
        <v>22000</v>
      </c>
      <c r="J128">
        <f t="shared" si="2"/>
        <v>198000</v>
      </c>
      <c r="K128">
        <f>J128*0.83</f>
        <v>164340</v>
      </c>
      <c r="L128">
        <f t="shared" si="3"/>
        <v>33660</v>
      </c>
    </row>
    <row r="129" spans="1:12" x14ac:dyDescent="0.3">
      <c r="A129" t="s">
        <v>186</v>
      </c>
      <c r="B129" s="2">
        <v>45902</v>
      </c>
      <c r="C129" t="s">
        <v>13</v>
      </c>
      <c r="D129" t="s">
        <v>25</v>
      </c>
      <c r="E129" t="s">
        <v>20</v>
      </c>
      <c r="F129" t="s">
        <v>16</v>
      </c>
      <c r="G129" t="s">
        <v>92</v>
      </c>
      <c r="H129">
        <v>14</v>
      </c>
      <c r="I129">
        <v>1200</v>
      </c>
      <c r="J129">
        <f t="shared" si="2"/>
        <v>16800</v>
      </c>
      <c r="K129">
        <f>J129*0.76</f>
        <v>12768</v>
      </c>
      <c r="L129">
        <f t="shared" si="3"/>
        <v>4032</v>
      </c>
    </row>
    <row r="130" spans="1:12" x14ac:dyDescent="0.3">
      <c r="A130" t="s">
        <v>187</v>
      </c>
      <c r="B130" s="2">
        <v>45960</v>
      </c>
      <c r="C130" t="s">
        <v>38</v>
      </c>
      <c r="D130" t="s">
        <v>64</v>
      </c>
      <c r="E130" t="s">
        <v>15</v>
      </c>
      <c r="F130" t="s">
        <v>16</v>
      </c>
      <c r="G130" t="s">
        <v>17</v>
      </c>
      <c r="H130">
        <v>16</v>
      </c>
      <c r="I130">
        <v>300</v>
      </c>
      <c r="J130">
        <f t="shared" ref="J130:J193" si="4">H130*I130</f>
        <v>4800</v>
      </c>
      <c r="K130">
        <f>J130*0.79</f>
        <v>3792</v>
      </c>
      <c r="L130">
        <f t="shared" ref="L130:L193" si="5">J130-K130</f>
        <v>1008</v>
      </c>
    </row>
    <row r="131" spans="1:12" x14ac:dyDescent="0.3">
      <c r="A131" t="s">
        <v>188</v>
      </c>
      <c r="B131" s="2">
        <v>45789</v>
      </c>
      <c r="C131" t="s">
        <v>48</v>
      </c>
      <c r="D131" t="s">
        <v>86</v>
      </c>
      <c r="E131" t="s">
        <v>15</v>
      </c>
      <c r="F131" t="s">
        <v>21</v>
      </c>
      <c r="G131" t="s">
        <v>22</v>
      </c>
      <c r="H131">
        <v>14</v>
      </c>
      <c r="I131">
        <v>15000</v>
      </c>
      <c r="J131">
        <f t="shared" si="4"/>
        <v>210000</v>
      </c>
      <c r="K131">
        <f>J131*0.74</f>
        <v>155400</v>
      </c>
      <c r="L131">
        <f t="shared" si="5"/>
        <v>54600</v>
      </c>
    </row>
    <row r="132" spans="1:12" x14ac:dyDescent="0.3">
      <c r="A132" t="s">
        <v>189</v>
      </c>
      <c r="B132" s="2">
        <v>45870</v>
      </c>
      <c r="C132" t="s">
        <v>57</v>
      </c>
      <c r="D132" t="s">
        <v>72</v>
      </c>
      <c r="E132" t="s">
        <v>35</v>
      </c>
      <c r="F132" t="s">
        <v>26</v>
      </c>
      <c r="G132" t="s">
        <v>111</v>
      </c>
      <c r="H132">
        <v>3</v>
      </c>
      <c r="I132">
        <v>85000</v>
      </c>
      <c r="J132">
        <f t="shared" si="4"/>
        <v>255000</v>
      </c>
      <c r="K132">
        <f>J132*0.72</f>
        <v>183600</v>
      </c>
      <c r="L132">
        <f t="shared" si="5"/>
        <v>71400</v>
      </c>
    </row>
    <row r="133" spans="1:12" x14ac:dyDescent="0.3">
      <c r="A133" t="s">
        <v>190</v>
      </c>
      <c r="B133" s="2">
        <v>45921</v>
      </c>
      <c r="C133" t="s">
        <v>13</v>
      </c>
      <c r="D133" t="s">
        <v>33</v>
      </c>
      <c r="E133" t="s">
        <v>15</v>
      </c>
      <c r="F133" t="s">
        <v>21</v>
      </c>
      <c r="G133" t="s">
        <v>22</v>
      </c>
      <c r="H133">
        <v>3</v>
      </c>
      <c r="I133">
        <v>15000</v>
      </c>
      <c r="J133">
        <f t="shared" si="4"/>
        <v>45000</v>
      </c>
      <c r="K133">
        <f>J133*0.83</f>
        <v>37350</v>
      </c>
      <c r="L133">
        <f t="shared" si="5"/>
        <v>7650</v>
      </c>
    </row>
    <row r="134" spans="1:12" x14ac:dyDescent="0.3">
      <c r="A134" t="s">
        <v>191</v>
      </c>
      <c r="B134" s="2">
        <v>45849</v>
      </c>
      <c r="C134" t="s">
        <v>76</v>
      </c>
      <c r="D134" t="s">
        <v>33</v>
      </c>
      <c r="E134" t="s">
        <v>35</v>
      </c>
      <c r="F134" t="s">
        <v>21</v>
      </c>
      <c r="G134" t="s">
        <v>22</v>
      </c>
      <c r="H134">
        <v>4</v>
      </c>
      <c r="I134">
        <v>15000</v>
      </c>
      <c r="J134">
        <f t="shared" si="4"/>
        <v>60000</v>
      </c>
      <c r="K134">
        <f>J134*0.82</f>
        <v>49200</v>
      </c>
      <c r="L134">
        <f t="shared" si="5"/>
        <v>10800</v>
      </c>
    </row>
    <row r="135" spans="1:12" x14ac:dyDescent="0.3">
      <c r="A135" t="s">
        <v>192</v>
      </c>
      <c r="B135" s="2">
        <v>45733</v>
      </c>
      <c r="C135" t="s">
        <v>63</v>
      </c>
      <c r="D135" t="s">
        <v>72</v>
      </c>
      <c r="E135" t="s">
        <v>46</v>
      </c>
      <c r="F135" t="s">
        <v>26</v>
      </c>
      <c r="G135" t="s">
        <v>127</v>
      </c>
      <c r="H135">
        <v>12</v>
      </c>
      <c r="I135">
        <v>1500</v>
      </c>
      <c r="J135">
        <f t="shared" si="4"/>
        <v>18000</v>
      </c>
      <c r="K135">
        <f>J135*0.71</f>
        <v>12780</v>
      </c>
      <c r="L135">
        <f t="shared" si="5"/>
        <v>5220</v>
      </c>
    </row>
    <row r="136" spans="1:12" x14ac:dyDescent="0.3">
      <c r="A136" t="s">
        <v>193</v>
      </c>
      <c r="B136" s="2">
        <v>45847</v>
      </c>
      <c r="C136" t="s">
        <v>76</v>
      </c>
      <c r="D136" t="s">
        <v>19</v>
      </c>
      <c r="E136" t="s">
        <v>46</v>
      </c>
      <c r="F136" t="s">
        <v>16</v>
      </c>
      <c r="G136" t="s">
        <v>36</v>
      </c>
      <c r="H136">
        <v>10</v>
      </c>
      <c r="I136">
        <v>150</v>
      </c>
      <c r="J136">
        <f t="shared" si="4"/>
        <v>1500</v>
      </c>
      <c r="K136">
        <f>J136*0.79</f>
        <v>1185</v>
      </c>
      <c r="L136">
        <f t="shared" si="5"/>
        <v>315</v>
      </c>
    </row>
    <row r="137" spans="1:12" x14ac:dyDescent="0.3">
      <c r="A137" t="s">
        <v>194</v>
      </c>
      <c r="B137" s="2">
        <v>45918</v>
      </c>
      <c r="C137" t="s">
        <v>13</v>
      </c>
      <c r="D137" t="s">
        <v>51</v>
      </c>
      <c r="E137" t="s">
        <v>46</v>
      </c>
      <c r="F137" t="s">
        <v>26</v>
      </c>
      <c r="G137" t="s">
        <v>44</v>
      </c>
      <c r="H137">
        <v>7</v>
      </c>
      <c r="I137">
        <v>25000</v>
      </c>
      <c r="J137">
        <f t="shared" si="4"/>
        <v>175000</v>
      </c>
      <c r="K137">
        <f>J137*0.81</f>
        <v>141750</v>
      </c>
      <c r="L137">
        <f t="shared" si="5"/>
        <v>33250</v>
      </c>
    </row>
    <row r="138" spans="1:12" x14ac:dyDescent="0.3">
      <c r="A138" t="s">
        <v>195</v>
      </c>
      <c r="B138" s="2">
        <v>45982</v>
      </c>
      <c r="C138" t="s">
        <v>32</v>
      </c>
      <c r="D138" t="s">
        <v>19</v>
      </c>
      <c r="E138" t="s">
        <v>15</v>
      </c>
      <c r="F138" t="s">
        <v>26</v>
      </c>
      <c r="G138" t="s">
        <v>94</v>
      </c>
      <c r="H138">
        <v>7</v>
      </c>
      <c r="I138">
        <v>28000</v>
      </c>
      <c r="J138">
        <f t="shared" si="4"/>
        <v>196000</v>
      </c>
      <c r="K138">
        <f>J138*0.82</f>
        <v>160720</v>
      </c>
      <c r="L138">
        <f t="shared" si="5"/>
        <v>35280</v>
      </c>
    </row>
    <row r="139" spans="1:12" x14ac:dyDescent="0.3">
      <c r="A139" t="s">
        <v>196</v>
      </c>
      <c r="B139" s="2">
        <v>45899</v>
      </c>
      <c r="C139" t="s">
        <v>57</v>
      </c>
      <c r="D139" t="s">
        <v>72</v>
      </c>
      <c r="E139" t="s">
        <v>46</v>
      </c>
      <c r="F139" t="s">
        <v>26</v>
      </c>
      <c r="G139" t="s">
        <v>94</v>
      </c>
      <c r="H139">
        <v>17</v>
      </c>
      <c r="I139">
        <v>28000</v>
      </c>
      <c r="J139">
        <f t="shared" si="4"/>
        <v>476000</v>
      </c>
      <c r="K139">
        <f>J139*0.77</f>
        <v>366520</v>
      </c>
      <c r="L139">
        <f t="shared" si="5"/>
        <v>109480</v>
      </c>
    </row>
    <row r="140" spans="1:12" x14ac:dyDescent="0.3">
      <c r="A140" t="s">
        <v>197</v>
      </c>
      <c r="B140" s="2">
        <v>45790</v>
      </c>
      <c r="C140" t="s">
        <v>48</v>
      </c>
      <c r="D140" t="s">
        <v>64</v>
      </c>
      <c r="E140" t="s">
        <v>46</v>
      </c>
      <c r="F140" t="s">
        <v>26</v>
      </c>
      <c r="G140" t="s">
        <v>44</v>
      </c>
      <c r="H140">
        <v>8</v>
      </c>
      <c r="I140">
        <v>25000</v>
      </c>
      <c r="J140">
        <f t="shared" si="4"/>
        <v>200000</v>
      </c>
      <c r="K140">
        <f>J140*0.8</f>
        <v>160000</v>
      </c>
      <c r="L140">
        <f t="shared" si="5"/>
        <v>40000</v>
      </c>
    </row>
    <row r="141" spans="1:12" x14ac:dyDescent="0.3">
      <c r="A141" t="s">
        <v>198</v>
      </c>
      <c r="B141" s="2">
        <v>45768</v>
      </c>
      <c r="C141" t="s">
        <v>59</v>
      </c>
      <c r="D141" t="s">
        <v>39</v>
      </c>
      <c r="E141" t="s">
        <v>20</v>
      </c>
      <c r="F141" t="s">
        <v>26</v>
      </c>
      <c r="G141" t="s">
        <v>94</v>
      </c>
      <c r="H141">
        <v>15</v>
      </c>
      <c r="I141">
        <v>28000</v>
      </c>
      <c r="J141">
        <f t="shared" si="4"/>
        <v>420000</v>
      </c>
      <c r="K141">
        <f>J141*0.79</f>
        <v>331800</v>
      </c>
      <c r="L141">
        <f t="shared" si="5"/>
        <v>88200</v>
      </c>
    </row>
    <row r="142" spans="1:12" x14ac:dyDescent="0.3">
      <c r="A142" t="s">
        <v>199</v>
      </c>
      <c r="B142" s="2">
        <v>45700</v>
      </c>
      <c r="C142" t="s">
        <v>50</v>
      </c>
      <c r="D142" t="s">
        <v>86</v>
      </c>
      <c r="E142" t="s">
        <v>46</v>
      </c>
      <c r="F142" t="s">
        <v>26</v>
      </c>
      <c r="G142" t="s">
        <v>111</v>
      </c>
      <c r="H142">
        <v>20</v>
      </c>
      <c r="I142">
        <v>85000</v>
      </c>
      <c r="J142">
        <f t="shared" si="4"/>
        <v>1700000</v>
      </c>
      <c r="K142">
        <f>J142*0.73</f>
        <v>1241000</v>
      </c>
      <c r="L142">
        <f t="shared" si="5"/>
        <v>459000</v>
      </c>
    </row>
    <row r="143" spans="1:12" x14ac:dyDescent="0.3">
      <c r="A143" t="s">
        <v>200</v>
      </c>
      <c r="B143" s="2">
        <v>45907</v>
      </c>
      <c r="C143" t="s">
        <v>13</v>
      </c>
      <c r="D143" t="s">
        <v>14</v>
      </c>
      <c r="E143" t="s">
        <v>30</v>
      </c>
      <c r="F143" t="s">
        <v>21</v>
      </c>
      <c r="G143" t="s">
        <v>22</v>
      </c>
      <c r="H143">
        <v>18</v>
      </c>
      <c r="I143">
        <v>15000</v>
      </c>
      <c r="J143">
        <f t="shared" si="4"/>
        <v>270000</v>
      </c>
      <c r="K143">
        <f>J143*0.84</f>
        <v>226800</v>
      </c>
      <c r="L143">
        <f t="shared" si="5"/>
        <v>43200</v>
      </c>
    </row>
    <row r="144" spans="1:12" x14ac:dyDescent="0.3">
      <c r="A144" t="s">
        <v>201</v>
      </c>
      <c r="B144" s="2">
        <v>45998</v>
      </c>
      <c r="C144" t="s">
        <v>24</v>
      </c>
      <c r="D144" t="s">
        <v>64</v>
      </c>
      <c r="E144" t="s">
        <v>15</v>
      </c>
      <c r="F144" t="s">
        <v>16</v>
      </c>
      <c r="G144" t="s">
        <v>36</v>
      </c>
      <c r="H144">
        <v>8</v>
      </c>
      <c r="I144">
        <v>150</v>
      </c>
      <c r="J144">
        <f t="shared" si="4"/>
        <v>1200</v>
      </c>
      <c r="K144">
        <f>J144*0.84</f>
        <v>1008</v>
      </c>
      <c r="L144">
        <f t="shared" si="5"/>
        <v>192</v>
      </c>
    </row>
    <row r="145" spans="1:12" x14ac:dyDescent="0.3">
      <c r="A145" t="s">
        <v>202</v>
      </c>
      <c r="B145" s="2">
        <v>45937</v>
      </c>
      <c r="C145" t="s">
        <v>38</v>
      </c>
      <c r="D145" t="s">
        <v>83</v>
      </c>
      <c r="E145" t="s">
        <v>30</v>
      </c>
      <c r="F145" t="s">
        <v>16</v>
      </c>
      <c r="G145" t="s">
        <v>60</v>
      </c>
      <c r="H145">
        <v>19</v>
      </c>
      <c r="I145">
        <v>250</v>
      </c>
      <c r="J145">
        <f t="shared" si="4"/>
        <v>4750</v>
      </c>
      <c r="K145">
        <f>J145*0.78</f>
        <v>3705</v>
      </c>
      <c r="L145">
        <f t="shared" si="5"/>
        <v>1045</v>
      </c>
    </row>
    <row r="146" spans="1:12" x14ac:dyDescent="0.3">
      <c r="A146" t="s">
        <v>203</v>
      </c>
      <c r="B146" s="2">
        <v>45741</v>
      </c>
      <c r="C146" t="s">
        <v>63</v>
      </c>
      <c r="D146" t="s">
        <v>64</v>
      </c>
      <c r="E146" t="s">
        <v>20</v>
      </c>
      <c r="F146" t="s">
        <v>26</v>
      </c>
      <c r="G146" t="s">
        <v>111</v>
      </c>
      <c r="H146">
        <v>15</v>
      </c>
      <c r="I146">
        <v>85000</v>
      </c>
      <c r="J146">
        <f t="shared" si="4"/>
        <v>1275000</v>
      </c>
      <c r="K146">
        <f>J146*0.81</f>
        <v>1032750.0000000001</v>
      </c>
      <c r="L146">
        <f t="shared" si="5"/>
        <v>242249.99999999988</v>
      </c>
    </row>
    <row r="147" spans="1:12" x14ac:dyDescent="0.3">
      <c r="A147" t="s">
        <v>204</v>
      </c>
      <c r="B147" s="2">
        <v>45791</v>
      </c>
      <c r="C147" t="s">
        <v>48</v>
      </c>
      <c r="D147" t="s">
        <v>25</v>
      </c>
      <c r="E147" t="s">
        <v>30</v>
      </c>
      <c r="F147" t="s">
        <v>21</v>
      </c>
      <c r="G147" t="s">
        <v>74</v>
      </c>
      <c r="H147">
        <v>8</v>
      </c>
      <c r="I147">
        <v>12000</v>
      </c>
      <c r="J147">
        <f t="shared" si="4"/>
        <v>96000</v>
      </c>
      <c r="K147">
        <f>J147*0.84</f>
        <v>80640</v>
      </c>
      <c r="L147">
        <f t="shared" si="5"/>
        <v>15360</v>
      </c>
    </row>
    <row r="148" spans="1:12" x14ac:dyDescent="0.3">
      <c r="A148" t="s">
        <v>205</v>
      </c>
      <c r="B148" s="2">
        <v>45792</v>
      </c>
      <c r="C148" t="s">
        <v>48</v>
      </c>
      <c r="D148" t="s">
        <v>33</v>
      </c>
      <c r="E148" t="s">
        <v>20</v>
      </c>
      <c r="F148" t="s">
        <v>16</v>
      </c>
      <c r="G148" t="s">
        <v>17</v>
      </c>
      <c r="H148">
        <v>11</v>
      </c>
      <c r="I148">
        <v>300</v>
      </c>
      <c r="J148">
        <f t="shared" si="4"/>
        <v>3300</v>
      </c>
      <c r="K148">
        <f>J148*0.72</f>
        <v>2376</v>
      </c>
      <c r="L148">
        <f t="shared" si="5"/>
        <v>924</v>
      </c>
    </row>
    <row r="149" spans="1:12" x14ac:dyDescent="0.3">
      <c r="A149" t="s">
        <v>206</v>
      </c>
      <c r="B149" s="2">
        <v>45977</v>
      </c>
      <c r="C149" t="s">
        <v>32</v>
      </c>
      <c r="D149" t="s">
        <v>86</v>
      </c>
      <c r="E149" t="s">
        <v>46</v>
      </c>
      <c r="F149" t="s">
        <v>26</v>
      </c>
      <c r="G149" t="s">
        <v>127</v>
      </c>
      <c r="H149">
        <v>5</v>
      </c>
      <c r="I149">
        <v>1500</v>
      </c>
      <c r="J149">
        <f t="shared" si="4"/>
        <v>7500</v>
      </c>
      <c r="K149">
        <f>J149*0.82</f>
        <v>6150</v>
      </c>
      <c r="L149">
        <f t="shared" si="5"/>
        <v>1350</v>
      </c>
    </row>
    <row r="150" spans="1:12" x14ac:dyDescent="0.3">
      <c r="A150" t="s">
        <v>207</v>
      </c>
      <c r="B150" s="2">
        <v>45771</v>
      </c>
      <c r="C150" t="s">
        <v>59</v>
      </c>
      <c r="D150" t="s">
        <v>72</v>
      </c>
      <c r="E150" t="s">
        <v>15</v>
      </c>
      <c r="F150" t="s">
        <v>26</v>
      </c>
      <c r="G150" t="s">
        <v>69</v>
      </c>
      <c r="H150">
        <v>1</v>
      </c>
      <c r="I150">
        <v>2500</v>
      </c>
      <c r="J150">
        <f t="shared" si="4"/>
        <v>2500</v>
      </c>
      <c r="K150">
        <f>J150*0.81</f>
        <v>2025.0000000000002</v>
      </c>
      <c r="L150">
        <f t="shared" si="5"/>
        <v>474.99999999999977</v>
      </c>
    </row>
    <row r="151" spans="1:12" x14ac:dyDescent="0.3">
      <c r="A151" t="s">
        <v>208</v>
      </c>
      <c r="B151" s="2">
        <v>45727</v>
      </c>
      <c r="C151" t="s">
        <v>63</v>
      </c>
      <c r="D151" t="s">
        <v>39</v>
      </c>
      <c r="E151" t="s">
        <v>46</v>
      </c>
      <c r="F151" t="s">
        <v>26</v>
      </c>
      <c r="G151" t="s">
        <v>27</v>
      </c>
      <c r="H151">
        <v>6</v>
      </c>
      <c r="I151">
        <v>45000</v>
      </c>
      <c r="J151">
        <f t="shared" si="4"/>
        <v>270000</v>
      </c>
      <c r="K151">
        <f>J151*0.84</f>
        <v>226800</v>
      </c>
      <c r="L151">
        <f t="shared" si="5"/>
        <v>43200</v>
      </c>
    </row>
    <row r="152" spans="1:12" x14ac:dyDescent="0.3">
      <c r="A152" t="s">
        <v>209</v>
      </c>
      <c r="B152" s="2">
        <v>45892</v>
      </c>
      <c r="C152" t="s">
        <v>57</v>
      </c>
      <c r="D152" t="s">
        <v>33</v>
      </c>
      <c r="E152" t="s">
        <v>15</v>
      </c>
      <c r="F152" t="s">
        <v>21</v>
      </c>
      <c r="G152" t="s">
        <v>74</v>
      </c>
      <c r="H152">
        <v>7</v>
      </c>
      <c r="I152">
        <v>12000</v>
      </c>
      <c r="J152">
        <f t="shared" si="4"/>
        <v>84000</v>
      </c>
      <c r="K152">
        <f>J152*0.77</f>
        <v>64680</v>
      </c>
      <c r="L152">
        <f t="shared" si="5"/>
        <v>19320</v>
      </c>
    </row>
    <row r="153" spans="1:12" x14ac:dyDescent="0.3">
      <c r="A153" t="s">
        <v>210</v>
      </c>
      <c r="B153" s="2">
        <v>45896</v>
      </c>
      <c r="C153" t="s">
        <v>57</v>
      </c>
      <c r="D153" t="s">
        <v>39</v>
      </c>
      <c r="E153" t="s">
        <v>46</v>
      </c>
      <c r="F153" t="s">
        <v>26</v>
      </c>
      <c r="G153" t="s">
        <v>111</v>
      </c>
      <c r="H153">
        <v>4</v>
      </c>
      <c r="I153">
        <v>85000</v>
      </c>
      <c r="J153">
        <f t="shared" si="4"/>
        <v>340000</v>
      </c>
      <c r="K153">
        <f>J153*0.79</f>
        <v>268600</v>
      </c>
      <c r="L153">
        <f t="shared" si="5"/>
        <v>71400</v>
      </c>
    </row>
    <row r="154" spans="1:12" x14ac:dyDescent="0.3">
      <c r="A154" t="s">
        <v>211</v>
      </c>
      <c r="B154" s="2">
        <v>45922</v>
      </c>
      <c r="C154" t="s">
        <v>13</v>
      </c>
      <c r="D154" t="s">
        <v>64</v>
      </c>
      <c r="E154" t="s">
        <v>46</v>
      </c>
      <c r="F154" t="s">
        <v>26</v>
      </c>
      <c r="G154" t="s">
        <v>111</v>
      </c>
      <c r="H154">
        <v>9</v>
      </c>
      <c r="I154">
        <v>85000</v>
      </c>
      <c r="J154">
        <f t="shared" si="4"/>
        <v>765000</v>
      </c>
      <c r="K154">
        <f>J154*0.79</f>
        <v>604350</v>
      </c>
      <c r="L154">
        <f t="shared" si="5"/>
        <v>160650</v>
      </c>
    </row>
    <row r="155" spans="1:12" x14ac:dyDescent="0.3">
      <c r="A155" t="s">
        <v>212</v>
      </c>
      <c r="B155" s="2">
        <v>45820</v>
      </c>
      <c r="C155" t="s">
        <v>43</v>
      </c>
      <c r="D155" t="s">
        <v>72</v>
      </c>
      <c r="E155" t="s">
        <v>15</v>
      </c>
      <c r="F155" t="s">
        <v>16</v>
      </c>
      <c r="G155" t="s">
        <v>60</v>
      </c>
      <c r="H155">
        <v>7</v>
      </c>
      <c r="I155">
        <v>250</v>
      </c>
      <c r="J155">
        <f t="shared" si="4"/>
        <v>1750</v>
      </c>
      <c r="K155">
        <f>J155*0.7</f>
        <v>1225</v>
      </c>
      <c r="L155">
        <f t="shared" si="5"/>
        <v>525</v>
      </c>
    </row>
    <row r="156" spans="1:12" x14ac:dyDescent="0.3">
      <c r="A156" t="s">
        <v>213</v>
      </c>
      <c r="B156" s="2">
        <v>45735</v>
      </c>
      <c r="C156" t="s">
        <v>63</v>
      </c>
      <c r="D156" t="s">
        <v>83</v>
      </c>
      <c r="E156" t="s">
        <v>46</v>
      </c>
      <c r="F156" t="s">
        <v>16</v>
      </c>
      <c r="G156" t="s">
        <v>60</v>
      </c>
      <c r="H156">
        <v>16</v>
      </c>
      <c r="I156">
        <v>250</v>
      </c>
      <c r="J156">
        <f t="shared" si="4"/>
        <v>4000</v>
      </c>
      <c r="K156">
        <f>J156*0.72</f>
        <v>2880</v>
      </c>
      <c r="L156">
        <f t="shared" si="5"/>
        <v>1120</v>
      </c>
    </row>
    <row r="157" spans="1:12" x14ac:dyDescent="0.3">
      <c r="A157" t="s">
        <v>214</v>
      </c>
      <c r="B157" s="2">
        <v>46009</v>
      </c>
      <c r="C157" t="s">
        <v>24</v>
      </c>
      <c r="D157" t="s">
        <v>64</v>
      </c>
      <c r="E157" t="s">
        <v>35</v>
      </c>
      <c r="F157" t="s">
        <v>26</v>
      </c>
      <c r="G157" t="s">
        <v>27</v>
      </c>
      <c r="H157">
        <v>11</v>
      </c>
      <c r="I157">
        <v>45000</v>
      </c>
      <c r="J157">
        <f t="shared" si="4"/>
        <v>495000</v>
      </c>
      <c r="K157">
        <f>J157*0.78</f>
        <v>386100</v>
      </c>
      <c r="L157">
        <f t="shared" si="5"/>
        <v>108900</v>
      </c>
    </row>
    <row r="158" spans="1:12" x14ac:dyDescent="0.3">
      <c r="A158" t="s">
        <v>215</v>
      </c>
      <c r="B158" s="2">
        <v>45695</v>
      </c>
      <c r="C158" t="s">
        <v>50</v>
      </c>
      <c r="D158" t="s">
        <v>64</v>
      </c>
      <c r="E158" t="s">
        <v>20</v>
      </c>
      <c r="F158" t="s">
        <v>16</v>
      </c>
      <c r="G158" t="s">
        <v>36</v>
      </c>
      <c r="H158">
        <v>3</v>
      </c>
      <c r="I158">
        <v>150</v>
      </c>
      <c r="J158">
        <f t="shared" si="4"/>
        <v>450</v>
      </c>
      <c r="K158">
        <f>J158*0.7</f>
        <v>315</v>
      </c>
      <c r="L158">
        <f t="shared" si="5"/>
        <v>135</v>
      </c>
    </row>
    <row r="159" spans="1:12" x14ac:dyDescent="0.3">
      <c r="A159" t="s">
        <v>216</v>
      </c>
      <c r="B159" s="2">
        <v>45716</v>
      </c>
      <c r="C159" t="s">
        <v>50</v>
      </c>
      <c r="D159" t="s">
        <v>25</v>
      </c>
      <c r="E159" t="s">
        <v>20</v>
      </c>
      <c r="F159" t="s">
        <v>16</v>
      </c>
      <c r="G159" t="s">
        <v>78</v>
      </c>
      <c r="H159">
        <v>11</v>
      </c>
      <c r="I159">
        <v>800</v>
      </c>
      <c r="J159">
        <f t="shared" si="4"/>
        <v>8800</v>
      </c>
      <c r="K159">
        <f>J159*0.84</f>
        <v>7392</v>
      </c>
      <c r="L159">
        <f t="shared" si="5"/>
        <v>1408</v>
      </c>
    </row>
    <row r="160" spans="1:12" x14ac:dyDescent="0.3">
      <c r="A160" t="s">
        <v>217</v>
      </c>
      <c r="B160" s="2">
        <v>45770</v>
      </c>
      <c r="C160" t="s">
        <v>59</v>
      </c>
      <c r="D160" t="s">
        <v>33</v>
      </c>
      <c r="E160" t="s">
        <v>30</v>
      </c>
      <c r="F160" t="s">
        <v>16</v>
      </c>
      <c r="G160" t="s">
        <v>78</v>
      </c>
      <c r="H160">
        <v>20</v>
      </c>
      <c r="I160">
        <v>800</v>
      </c>
      <c r="J160">
        <f t="shared" si="4"/>
        <v>16000</v>
      </c>
      <c r="K160">
        <f>J160*0.75</f>
        <v>12000</v>
      </c>
      <c r="L160">
        <f t="shared" si="5"/>
        <v>4000</v>
      </c>
    </row>
    <row r="161" spans="1:12" x14ac:dyDescent="0.3">
      <c r="A161" t="s">
        <v>218</v>
      </c>
      <c r="B161" s="2">
        <v>45702</v>
      </c>
      <c r="C161" t="s">
        <v>50</v>
      </c>
      <c r="D161" t="s">
        <v>64</v>
      </c>
      <c r="E161" t="s">
        <v>35</v>
      </c>
      <c r="F161" t="s">
        <v>26</v>
      </c>
      <c r="G161" t="s">
        <v>111</v>
      </c>
      <c r="H161">
        <v>3</v>
      </c>
      <c r="I161">
        <v>85000</v>
      </c>
      <c r="J161">
        <f t="shared" si="4"/>
        <v>255000</v>
      </c>
      <c r="K161">
        <f>J161*0.78</f>
        <v>198900</v>
      </c>
      <c r="L161">
        <f t="shared" si="5"/>
        <v>56100</v>
      </c>
    </row>
    <row r="162" spans="1:12" x14ac:dyDescent="0.3">
      <c r="A162" t="s">
        <v>219</v>
      </c>
      <c r="B162" s="2">
        <v>45867</v>
      </c>
      <c r="C162" t="s">
        <v>76</v>
      </c>
      <c r="D162" t="s">
        <v>83</v>
      </c>
      <c r="E162" t="s">
        <v>30</v>
      </c>
      <c r="F162" t="s">
        <v>21</v>
      </c>
      <c r="G162" t="s">
        <v>65</v>
      </c>
      <c r="H162">
        <v>5</v>
      </c>
      <c r="I162">
        <v>22000</v>
      </c>
      <c r="J162">
        <f t="shared" si="4"/>
        <v>110000</v>
      </c>
      <c r="K162">
        <f>J162*0.81</f>
        <v>89100</v>
      </c>
      <c r="L162">
        <f t="shared" si="5"/>
        <v>20900</v>
      </c>
    </row>
    <row r="163" spans="1:12" x14ac:dyDescent="0.3">
      <c r="A163" t="s">
        <v>220</v>
      </c>
      <c r="B163" s="2">
        <v>45692</v>
      </c>
      <c r="C163" t="s">
        <v>50</v>
      </c>
      <c r="D163" t="s">
        <v>33</v>
      </c>
      <c r="E163" t="s">
        <v>35</v>
      </c>
      <c r="F163" t="s">
        <v>16</v>
      </c>
      <c r="G163" t="s">
        <v>60</v>
      </c>
      <c r="H163">
        <v>15</v>
      </c>
      <c r="I163">
        <v>250</v>
      </c>
      <c r="J163">
        <f t="shared" si="4"/>
        <v>3750</v>
      </c>
      <c r="K163">
        <f>J163*0.8</f>
        <v>3000</v>
      </c>
      <c r="L163">
        <f t="shared" si="5"/>
        <v>750</v>
      </c>
    </row>
    <row r="164" spans="1:12" x14ac:dyDescent="0.3">
      <c r="A164" t="s">
        <v>221</v>
      </c>
      <c r="B164" s="2">
        <v>45679</v>
      </c>
      <c r="C164" t="s">
        <v>29</v>
      </c>
      <c r="D164" t="s">
        <v>25</v>
      </c>
      <c r="E164" t="s">
        <v>35</v>
      </c>
      <c r="F164" t="s">
        <v>26</v>
      </c>
      <c r="G164" t="s">
        <v>69</v>
      </c>
      <c r="H164">
        <v>14</v>
      </c>
      <c r="I164">
        <v>2500</v>
      </c>
      <c r="J164">
        <f t="shared" si="4"/>
        <v>35000</v>
      </c>
      <c r="K164">
        <f>J164*0.8</f>
        <v>28000</v>
      </c>
      <c r="L164">
        <f t="shared" si="5"/>
        <v>7000</v>
      </c>
    </row>
    <row r="165" spans="1:12" x14ac:dyDescent="0.3">
      <c r="A165" t="s">
        <v>222</v>
      </c>
      <c r="B165" s="2">
        <v>45896</v>
      </c>
      <c r="C165" t="s">
        <v>57</v>
      </c>
      <c r="D165" t="s">
        <v>83</v>
      </c>
      <c r="E165" t="s">
        <v>46</v>
      </c>
      <c r="F165" t="s">
        <v>21</v>
      </c>
      <c r="G165" t="s">
        <v>65</v>
      </c>
      <c r="H165">
        <v>20</v>
      </c>
      <c r="I165">
        <v>22000</v>
      </c>
      <c r="J165">
        <f t="shared" si="4"/>
        <v>440000</v>
      </c>
      <c r="K165">
        <f>J165*0.79</f>
        <v>347600</v>
      </c>
      <c r="L165">
        <f t="shared" si="5"/>
        <v>92400</v>
      </c>
    </row>
    <row r="166" spans="1:12" x14ac:dyDescent="0.3">
      <c r="A166" t="s">
        <v>223</v>
      </c>
      <c r="B166" s="2">
        <v>45914</v>
      </c>
      <c r="C166" t="s">
        <v>13</v>
      </c>
      <c r="D166" t="s">
        <v>86</v>
      </c>
      <c r="E166" t="s">
        <v>35</v>
      </c>
      <c r="F166" t="s">
        <v>21</v>
      </c>
      <c r="G166" t="s">
        <v>65</v>
      </c>
      <c r="H166">
        <v>9</v>
      </c>
      <c r="I166">
        <v>22000</v>
      </c>
      <c r="J166">
        <f t="shared" si="4"/>
        <v>198000</v>
      </c>
      <c r="K166">
        <f>J166*0.84</f>
        <v>166320</v>
      </c>
      <c r="L166">
        <f t="shared" si="5"/>
        <v>31680</v>
      </c>
    </row>
    <row r="167" spans="1:12" x14ac:dyDescent="0.3">
      <c r="A167" t="s">
        <v>224</v>
      </c>
      <c r="B167" s="2">
        <v>45667</v>
      </c>
      <c r="C167" t="s">
        <v>29</v>
      </c>
      <c r="D167" t="s">
        <v>14</v>
      </c>
      <c r="E167" t="s">
        <v>30</v>
      </c>
      <c r="F167" t="s">
        <v>21</v>
      </c>
      <c r="G167" t="s">
        <v>40</v>
      </c>
      <c r="H167">
        <v>18</v>
      </c>
      <c r="I167">
        <v>5000</v>
      </c>
      <c r="J167">
        <f t="shared" si="4"/>
        <v>90000</v>
      </c>
      <c r="K167">
        <f>J167*0.77</f>
        <v>69300</v>
      </c>
      <c r="L167">
        <f t="shared" si="5"/>
        <v>20700</v>
      </c>
    </row>
    <row r="168" spans="1:12" x14ac:dyDescent="0.3">
      <c r="A168" t="s">
        <v>225</v>
      </c>
      <c r="B168" s="2">
        <v>45738</v>
      </c>
      <c r="C168" t="s">
        <v>63</v>
      </c>
      <c r="D168" t="s">
        <v>19</v>
      </c>
      <c r="E168" t="s">
        <v>30</v>
      </c>
      <c r="F168" t="s">
        <v>26</v>
      </c>
      <c r="G168" t="s">
        <v>27</v>
      </c>
      <c r="H168">
        <v>10</v>
      </c>
      <c r="I168">
        <v>45000</v>
      </c>
      <c r="J168">
        <f t="shared" si="4"/>
        <v>450000</v>
      </c>
      <c r="K168">
        <f>J168*0.7</f>
        <v>315000</v>
      </c>
      <c r="L168">
        <f t="shared" si="5"/>
        <v>135000</v>
      </c>
    </row>
    <row r="169" spans="1:12" x14ac:dyDescent="0.3">
      <c r="A169" t="s">
        <v>226</v>
      </c>
      <c r="B169" s="2">
        <v>45984</v>
      </c>
      <c r="C169" t="s">
        <v>32</v>
      </c>
      <c r="D169" t="s">
        <v>25</v>
      </c>
      <c r="E169" t="s">
        <v>20</v>
      </c>
      <c r="F169" t="s">
        <v>26</v>
      </c>
      <c r="G169" t="s">
        <v>127</v>
      </c>
      <c r="H169">
        <v>7</v>
      </c>
      <c r="I169">
        <v>1500</v>
      </c>
      <c r="J169">
        <f t="shared" si="4"/>
        <v>10500</v>
      </c>
      <c r="K169">
        <f>J169*0.79</f>
        <v>8295</v>
      </c>
      <c r="L169">
        <f t="shared" si="5"/>
        <v>2205</v>
      </c>
    </row>
    <row r="170" spans="1:12" x14ac:dyDescent="0.3">
      <c r="A170" t="s">
        <v>227</v>
      </c>
      <c r="B170" s="2">
        <v>45701</v>
      </c>
      <c r="C170" t="s">
        <v>50</v>
      </c>
      <c r="D170" t="s">
        <v>33</v>
      </c>
      <c r="E170" t="s">
        <v>20</v>
      </c>
      <c r="F170" t="s">
        <v>21</v>
      </c>
      <c r="G170" t="s">
        <v>65</v>
      </c>
      <c r="H170">
        <v>13</v>
      </c>
      <c r="I170">
        <v>22000</v>
      </c>
      <c r="J170">
        <f t="shared" si="4"/>
        <v>286000</v>
      </c>
      <c r="K170">
        <f>J170*0.77</f>
        <v>220220</v>
      </c>
      <c r="L170">
        <f t="shared" si="5"/>
        <v>65780</v>
      </c>
    </row>
    <row r="171" spans="1:12" x14ac:dyDescent="0.3">
      <c r="A171" t="s">
        <v>228</v>
      </c>
      <c r="B171" s="2">
        <v>45816</v>
      </c>
      <c r="C171" t="s">
        <v>43</v>
      </c>
      <c r="D171" t="s">
        <v>14</v>
      </c>
      <c r="E171" t="s">
        <v>46</v>
      </c>
      <c r="F171" t="s">
        <v>16</v>
      </c>
      <c r="G171" t="s">
        <v>92</v>
      </c>
      <c r="H171">
        <v>14</v>
      </c>
      <c r="I171">
        <v>1200</v>
      </c>
      <c r="J171">
        <f t="shared" si="4"/>
        <v>16800</v>
      </c>
      <c r="K171">
        <f>J171*0.74</f>
        <v>12432</v>
      </c>
      <c r="L171">
        <f t="shared" si="5"/>
        <v>4368</v>
      </c>
    </row>
    <row r="172" spans="1:12" x14ac:dyDescent="0.3">
      <c r="A172" t="s">
        <v>229</v>
      </c>
      <c r="B172" s="2">
        <v>45741</v>
      </c>
      <c r="C172" t="s">
        <v>63</v>
      </c>
      <c r="D172" t="s">
        <v>14</v>
      </c>
      <c r="E172" t="s">
        <v>46</v>
      </c>
      <c r="F172" t="s">
        <v>26</v>
      </c>
      <c r="G172" t="s">
        <v>111</v>
      </c>
      <c r="H172">
        <v>4</v>
      </c>
      <c r="I172">
        <v>85000</v>
      </c>
      <c r="J172">
        <f t="shared" si="4"/>
        <v>340000</v>
      </c>
      <c r="K172">
        <f>J172*0.85</f>
        <v>289000</v>
      </c>
      <c r="L172">
        <f t="shared" si="5"/>
        <v>51000</v>
      </c>
    </row>
    <row r="173" spans="1:12" x14ac:dyDescent="0.3">
      <c r="A173" t="s">
        <v>230</v>
      </c>
      <c r="B173" s="2">
        <v>45793</v>
      </c>
      <c r="C173" t="s">
        <v>48</v>
      </c>
      <c r="D173" t="s">
        <v>64</v>
      </c>
      <c r="E173" t="s">
        <v>15</v>
      </c>
      <c r="F173" t="s">
        <v>16</v>
      </c>
      <c r="G173" t="s">
        <v>17</v>
      </c>
      <c r="H173">
        <v>12</v>
      </c>
      <c r="I173">
        <v>300</v>
      </c>
      <c r="J173">
        <f t="shared" si="4"/>
        <v>3600</v>
      </c>
      <c r="K173">
        <f>J173*0.83</f>
        <v>2988</v>
      </c>
      <c r="L173">
        <f t="shared" si="5"/>
        <v>612</v>
      </c>
    </row>
    <row r="174" spans="1:12" x14ac:dyDescent="0.3">
      <c r="A174" t="s">
        <v>231</v>
      </c>
      <c r="B174" s="2">
        <v>45891</v>
      </c>
      <c r="C174" t="s">
        <v>57</v>
      </c>
      <c r="D174" t="s">
        <v>83</v>
      </c>
      <c r="E174" t="s">
        <v>30</v>
      </c>
      <c r="F174" t="s">
        <v>26</v>
      </c>
      <c r="G174" t="s">
        <v>52</v>
      </c>
      <c r="H174">
        <v>8</v>
      </c>
      <c r="I174">
        <v>35000</v>
      </c>
      <c r="J174">
        <f t="shared" si="4"/>
        <v>280000</v>
      </c>
      <c r="K174">
        <f>J174*0.75</f>
        <v>210000</v>
      </c>
      <c r="L174">
        <f t="shared" si="5"/>
        <v>70000</v>
      </c>
    </row>
    <row r="175" spans="1:12" x14ac:dyDescent="0.3">
      <c r="A175" t="s">
        <v>232</v>
      </c>
      <c r="B175" s="2">
        <v>45917</v>
      </c>
      <c r="C175" t="s">
        <v>13</v>
      </c>
      <c r="D175" t="s">
        <v>83</v>
      </c>
      <c r="E175" t="s">
        <v>35</v>
      </c>
      <c r="F175" t="s">
        <v>26</v>
      </c>
      <c r="G175" t="s">
        <v>111</v>
      </c>
      <c r="H175">
        <v>11</v>
      </c>
      <c r="I175">
        <v>85000</v>
      </c>
      <c r="J175">
        <f t="shared" si="4"/>
        <v>935000</v>
      </c>
      <c r="K175">
        <f>J175*0.76</f>
        <v>710600</v>
      </c>
      <c r="L175">
        <f t="shared" si="5"/>
        <v>224400</v>
      </c>
    </row>
    <row r="176" spans="1:12" x14ac:dyDescent="0.3">
      <c r="A176" t="s">
        <v>233</v>
      </c>
      <c r="B176" s="2">
        <v>45745</v>
      </c>
      <c r="C176" t="s">
        <v>63</v>
      </c>
      <c r="D176" t="s">
        <v>25</v>
      </c>
      <c r="E176" t="s">
        <v>15</v>
      </c>
      <c r="F176" t="s">
        <v>16</v>
      </c>
      <c r="G176" t="s">
        <v>78</v>
      </c>
      <c r="H176">
        <v>2</v>
      </c>
      <c r="I176">
        <v>800</v>
      </c>
      <c r="J176">
        <f t="shared" si="4"/>
        <v>1600</v>
      </c>
      <c r="K176">
        <f>J176*0.76</f>
        <v>1216</v>
      </c>
      <c r="L176">
        <f t="shared" si="5"/>
        <v>384</v>
      </c>
    </row>
    <row r="177" spans="1:12" x14ac:dyDescent="0.3">
      <c r="A177" t="s">
        <v>234</v>
      </c>
      <c r="B177" s="2">
        <v>45680</v>
      </c>
      <c r="C177" t="s">
        <v>29</v>
      </c>
      <c r="D177" t="s">
        <v>83</v>
      </c>
      <c r="E177" t="s">
        <v>35</v>
      </c>
      <c r="F177" t="s">
        <v>26</v>
      </c>
      <c r="G177" t="s">
        <v>27</v>
      </c>
      <c r="H177">
        <v>15</v>
      </c>
      <c r="I177">
        <v>45000</v>
      </c>
      <c r="J177">
        <f t="shared" si="4"/>
        <v>675000</v>
      </c>
      <c r="K177">
        <f>J177*0.79</f>
        <v>533250</v>
      </c>
      <c r="L177">
        <f t="shared" si="5"/>
        <v>141750</v>
      </c>
    </row>
    <row r="178" spans="1:12" x14ac:dyDescent="0.3">
      <c r="A178" t="s">
        <v>235</v>
      </c>
      <c r="B178" s="2">
        <v>45988</v>
      </c>
      <c r="C178" t="s">
        <v>32</v>
      </c>
      <c r="D178" t="s">
        <v>64</v>
      </c>
      <c r="E178" t="s">
        <v>15</v>
      </c>
      <c r="F178" t="s">
        <v>16</v>
      </c>
      <c r="G178" t="s">
        <v>60</v>
      </c>
      <c r="H178">
        <v>8</v>
      </c>
      <c r="I178">
        <v>250</v>
      </c>
      <c r="J178">
        <f t="shared" si="4"/>
        <v>2000</v>
      </c>
      <c r="K178">
        <f>J178*0.79</f>
        <v>1580</v>
      </c>
      <c r="L178">
        <f t="shared" si="5"/>
        <v>420</v>
      </c>
    </row>
    <row r="179" spans="1:12" x14ac:dyDescent="0.3">
      <c r="A179" t="s">
        <v>236</v>
      </c>
      <c r="B179" s="2">
        <v>45902</v>
      </c>
      <c r="C179" t="s">
        <v>13</v>
      </c>
      <c r="D179" t="s">
        <v>39</v>
      </c>
      <c r="E179" t="s">
        <v>46</v>
      </c>
      <c r="F179" t="s">
        <v>26</v>
      </c>
      <c r="G179" t="s">
        <v>127</v>
      </c>
      <c r="H179">
        <v>15</v>
      </c>
      <c r="I179">
        <v>1500</v>
      </c>
      <c r="J179">
        <f t="shared" si="4"/>
        <v>22500</v>
      </c>
      <c r="K179">
        <f>J179*0.76</f>
        <v>17100</v>
      </c>
      <c r="L179">
        <f t="shared" si="5"/>
        <v>5400</v>
      </c>
    </row>
    <row r="180" spans="1:12" x14ac:dyDescent="0.3">
      <c r="A180" t="s">
        <v>237</v>
      </c>
      <c r="B180" s="2">
        <v>45837</v>
      </c>
      <c r="C180" t="s">
        <v>43</v>
      </c>
      <c r="D180" t="s">
        <v>25</v>
      </c>
      <c r="E180" t="s">
        <v>15</v>
      </c>
      <c r="F180" t="s">
        <v>16</v>
      </c>
      <c r="G180" t="s">
        <v>60</v>
      </c>
      <c r="H180">
        <v>4</v>
      </c>
      <c r="I180">
        <v>250</v>
      </c>
      <c r="J180">
        <f t="shared" si="4"/>
        <v>1000</v>
      </c>
      <c r="K180">
        <f>J180*0.77</f>
        <v>770</v>
      </c>
      <c r="L180">
        <f t="shared" si="5"/>
        <v>230</v>
      </c>
    </row>
    <row r="181" spans="1:12" x14ac:dyDescent="0.3">
      <c r="A181" t="s">
        <v>238</v>
      </c>
      <c r="B181" s="2">
        <v>45810</v>
      </c>
      <c r="C181" t="s">
        <v>43</v>
      </c>
      <c r="D181" t="s">
        <v>51</v>
      </c>
      <c r="E181" t="s">
        <v>20</v>
      </c>
      <c r="F181" t="s">
        <v>21</v>
      </c>
      <c r="G181" t="s">
        <v>74</v>
      </c>
      <c r="H181">
        <v>12</v>
      </c>
      <c r="I181">
        <v>12000</v>
      </c>
      <c r="J181">
        <f t="shared" si="4"/>
        <v>144000</v>
      </c>
      <c r="K181">
        <f>J181*0.74</f>
        <v>106560</v>
      </c>
      <c r="L181">
        <f t="shared" si="5"/>
        <v>37440</v>
      </c>
    </row>
    <row r="182" spans="1:12" x14ac:dyDescent="0.3">
      <c r="A182" t="s">
        <v>239</v>
      </c>
      <c r="B182" s="2">
        <v>45887</v>
      </c>
      <c r="C182" t="s">
        <v>57</v>
      </c>
      <c r="D182" t="s">
        <v>14</v>
      </c>
      <c r="E182" t="s">
        <v>35</v>
      </c>
      <c r="F182" t="s">
        <v>21</v>
      </c>
      <c r="G182" t="s">
        <v>65</v>
      </c>
      <c r="H182">
        <v>15</v>
      </c>
      <c r="I182">
        <v>22000</v>
      </c>
      <c r="J182">
        <f t="shared" si="4"/>
        <v>330000</v>
      </c>
      <c r="K182">
        <f>J182*0.77</f>
        <v>254100</v>
      </c>
      <c r="L182">
        <f t="shared" si="5"/>
        <v>75900</v>
      </c>
    </row>
    <row r="183" spans="1:12" x14ac:dyDescent="0.3">
      <c r="A183" t="s">
        <v>240</v>
      </c>
      <c r="B183" s="2">
        <v>45768</v>
      </c>
      <c r="C183" t="s">
        <v>59</v>
      </c>
      <c r="D183" t="s">
        <v>83</v>
      </c>
      <c r="E183" t="s">
        <v>15</v>
      </c>
      <c r="F183" t="s">
        <v>26</v>
      </c>
      <c r="G183" t="s">
        <v>52</v>
      </c>
      <c r="H183">
        <v>15</v>
      </c>
      <c r="I183">
        <v>35000</v>
      </c>
      <c r="J183">
        <f t="shared" si="4"/>
        <v>525000</v>
      </c>
      <c r="K183">
        <f>J183*0.81</f>
        <v>425250</v>
      </c>
      <c r="L183">
        <f t="shared" si="5"/>
        <v>99750</v>
      </c>
    </row>
    <row r="184" spans="1:12" x14ac:dyDescent="0.3">
      <c r="A184" t="s">
        <v>241</v>
      </c>
      <c r="B184" s="2">
        <v>45964</v>
      </c>
      <c r="C184" t="s">
        <v>32</v>
      </c>
      <c r="D184" t="s">
        <v>64</v>
      </c>
      <c r="E184" t="s">
        <v>20</v>
      </c>
      <c r="F184" t="s">
        <v>16</v>
      </c>
      <c r="G184" t="s">
        <v>92</v>
      </c>
      <c r="H184">
        <v>16</v>
      </c>
      <c r="I184">
        <v>1200</v>
      </c>
      <c r="J184">
        <f t="shared" si="4"/>
        <v>19200</v>
      </c>
      <c r="K184">
        <f>J184*0.8</f>
        <v>15360</v>
      </c>
      <c r="L184">
        <f t="shared" si="5"/>
        <v>3840</v>
      </c>
    </row>
    <row r="185" spans="1:12" x14ac:dyDescent="0.3">
      <c r="A185" t="s">
        <v>242</v>
      </c>
      <c r="B185" s="2">
        <v>45717</v>
      </c>
      <c r="C185" t="s">
        <v>63</v>
      </c>
      <c r="D185" t="s">
        <v>14</v>
      </c>
      <c r="E185" t="s">
        <v>15</v>
      </c>
      <c r="F185" t="s">
        <v>26</v>
      </c>
      <c r="G185" t="s">
        <v>27</v>
      </c>
      <c r="H185">
        <v>16</v>
      </c>
      <c r="I185">
        <v>45000</v>
      </c>
      <c r="J185">
        <f t="shared" si="4"/>
        <v>720000</v>
      </c>
      <c r="K185">
        <f>J185*0.72</f>
        <v>518400</v>
      </c>
      <c r="L185">
        <f t="shared" si="5"/>
        <v>201600</v>
      </c>
    </row>
    <row r="186" spans="1:12" x14ac:dyDescent="0.3">
      <c r="A186" t="s">
        <v>243</v>
      </c>
      <c r="B186" s="2">
        <v>46000</v>
      </c>
      <c r="C186" t="s">
        <v>24</v>
      </c>
      <c r="D186" t="s">
        <v>83</v>
      </c>
      <c r="E186" t="s">
        <v>20</v>
      </c>
      <c r="F186" t="s">
        <v>26</v>
      </c>
      <c r="G186" t="s">
        <v>111</v>
      </c>
      <c r="H186">
        <v>17</v>
      </c>
      <c r="I186">
        <v>85000</v>
      </c>
      <c r="J186">
        <f t="shared" si="4"/>
        <v>1445000</v>
      </c>
      <c r="K186">
        <f>J186*0.72</f>
        <v>1040400</v>
      </c>
      <c r="L186">
        <f t="shared" si="5"/>
        <v>404600</v>
      </c>
    </row>
    <row r="187" spans="1:12" x14ac:dyDescent="0.3">
      <c r="A187" t="s">
        <v>244</v>
      </c>
      <c r="B187" s="2">
        <v>46011</v>
      </c>
      <c r="C187" t="s">
        <v>24</v>
      </c>
      <c r="D187" t="s">
        <v>86</v>
      </c>
      <c r="E187" t="s">
        <v>30</v>
      </c>
      <c r="F187" t="s">
        <v>21</v>
      </c>
      <c r="G187" t="s">
        <v>65</v>
      </c>
      <c r="H187">
        <v>14</v>
      </c>
      <c r="I187">
        <v>22000</v>
      </c>
      <c r="J187">
        <f t="shared" si="4"/>
        <v>308000</v>
      </c>
      <c r="K187">
        <f>J187*0.83</f>
        <v>255640</v>
      </c>
      <c r="L187">
        <f t="shared" si="5"/>
        <v>52360</v>
      </c>
    </row>
    <row r="188" spans="1:12" x14ac:dyDescent="0.3">
      <c r="A188" t="s">
        <v>245</v>
      </c>
      <c r="B188" s="2">
        <v>45743</v>
      </c>
      <c r="C188" t="s">
        <v>63</v>
      </c>
      <c r="D188" t="s">
        <v>72</v>
      </c>
      <c r="E188" t="s">
        <v>46</v>
      </c>
      <c r="F188" t="s">
        <v>26</v>
      </c>
      <c r="G188" t="s">
        <v>52</v>
      </c>
      <c r="H188">
        <v>19</v>
      </c>
      <c r="I188">
        <v>35000</v>
      </c>
      <c r="J188">
        <f t="shared" si="4"/>
        <v>665000</v>
      </c>
      <c r="K188">
        <f>J188*0.73</f>
        <v>485450</v>
      </c>
      <c r="L188">
        <f t="shared" si="5"/>
        <v>179550</v>
      </c>
    </row>
    <row r="189" spans="1:12" x14ac:dyDescent="0.3">
      <c r="A189" t="s">
        <v>246</v>
      </c>
      <c r="B189" s="2">
        <v>45726</v>
      </c>
      <c r="C189" t="s">
        <v>63</v>
      </c>
      <c r="D189" t="s">
        <v>19</v>
      </c>
      <c r="E189" t="s">
        <v>30</v>
      </c>
      <c r="F189" t="s">
        <v>16</v>
      </c>
      <c r="G189" t="s">
        <v>17</v>
      </c>
      <c r="H189">
        <v>8</v>
      </c>
      <c r="I189">
        <v>300</v>
      </c>
      <c r="J189">
        <f t="shared" si="4"/>
        <v>2400</v>
      </c>
      <c r="K189">
        <f>J189*0.74</f>
        <v>1776</v>
      </c>
      <c r="L189">
        <f t="shared" si="5"/>
        <v>624</v>
      </c>
    </row>
    <row r="190" spans="1:12" x14ac:dyDescent="0.3">
      <c r="A190" t="s">
        <v>247</v>
      </c>
      <c r="B190" s="2">
        <v>45994</v>
      </c>
      <c r="C190" t="s">
        <v>24</v>
      </c>
      <c r="D190" t="s">
        <v>39</v>
      </c>
      <c r="E190" t="s">
        <v>35</v>
      </c>
      <c r="F190" t="s">
        <v>26</v>
      </c>
      <c r="G190" t="s">
        <v>69</v>
      </c>
      <c r="H190">
        <v>15</v>
      </c>
      <c r="I190">
        <v>2500</v>
      </c>
      <c r="J190">
        <f t="shared" si="4"/>
        <v>37500</v>
      </c>
      <c r="K190">
        <f>J190*0.73</f>
        <v>27375</v>
      </c>
      <c r="L190">
        <f t="shared" si="5"/>
        <v>10125</v>
      </c>
    </row>
    <row r="191" spans="1:12" x14ac:dyDescent="0.3">
      <c r="A191" t="s">
        <v>248</v>
      </c>
      <c r="B191" s="2">
        <v>45940</v>
      </c>
      <c r="C191" t="s">
        <v>38</v>
      </c>
      <c r="D191" t="s">
        <v>64</v>
      </c>
      <c r="E191" t="s">
        <v>15</v>
      </c>
      <c r="F191" t="s">
        <v>26</v>
      </c>
      <c r="G191" t="s">
        <v>94</v>
      </c>
      <c r="H191">
        <v>17</v>
      </c>
      <c r="I191">
        <v>28000</v>
      </c>
      <c r="J191">
        <f t="shared" si="4"/>
        <v>476000</v>
      </c>
      <c r="K191">
        <f>J191*0.78</f>
        <v>371280</v>
      </c>
      <c r="L191">
        <f t="shared" si="5"/>
        <v>104720</v>
      </c>
    </row>
    <row r="192" spans="1:12" x14ac:dyDescent="0.3">
      <c r="A192" t="s">
        <v>249</v>
      </c>
      <c r="B192" s="2">
        <v>45705</v>
      </c>
      <c r="C192" t="s">
        <v>50</v>
      </c>
      <c r="D192" t="s">
        <v>72</v>
      </c>
      <c r="E192" t="s">
        <v>46</v>
      </c>
      <c r="F192" t="s">
        <v>26</v>
      </c>
      <c r="G192" t="s">
        <v>111</v>
      </c>
      <c r="H192">
        <v>1</v>
      </c>
      <c r="I192">
        <v>85000</v>
      </c>
      <c r="J192">
        <f t="shared" si="4"/>
        <v>85000</v>
      </c>
      <c r="K192">
        <f>J192*0.83</f>
        <v>70550</v>
      </c>
      <c r="L192">
        <f t="shared" si="5"/>
        <v>14450</v>
      </c>
    </row>
    <row r="193" spans="1:12" x14ac:dyDescent="0.3">
      <c r="A193" t="s">
        <v>250</v>
      </c>
      <c r="B193" s="2">
        <v>45816</v>
      </c>
      <c r="C193" t="s">
        <v>43</v>
      </c>
      <c r="D193" t="s">
        <v>83</v>
      </c>
      <c r="E193" t="s">
        <v>46</v>
      </c>
      <c r="F193" t="s">
        <v>26</v>
      </c>
      <c r="G193" t="s">
        <v>27</v>
      </c>
      <c r="H193">
        <v>13</v>
      </c>
      <c r="I193">
        <v>45000</v>
      </c>
      <c r="J193">
        <f t="shared" si="4"/>
        <v>585000</v>
      </c>
      <c r="K193">
        <f>J193*0.73</f>
        <v>427050</v>
      </c>
      <c r="L193">
        <f t="shared" si="5"/>
        <v>157950</v>
      </c>
    </row>
    <row r="194" spans="1:12" x14ac:dyDescent="0.3">
      <c r="A194" t="s">
        <v>251</v>
      </c>
      <c r="B194" s="2">
        <v>45683</v>
      </c>
      <c r="C194" t="s">
        <v>29</v>
      </c>
      <c r="D194" t="s">
        <v>72</v>
      </c>
      <c r="E194" t="s">
        <v>15</v>
      </c>
      <c r="F194" t="s">
        <v>21</v>
      </c>
      <c r="G194" t="s">
        <v>54</v>
      </c>
      <c r="H194">
        <v>3</v>
      </c>
      <c r="I194">
        <v>18000</v>
      </c>
      <c r="J194">
        <f t="shared" ref="J194:J257" si="6">H194*I194</f>
        <v>54000</v>
      </c>
      <c r="K194">
        <f>J194*0.84</f>
        <v>45360</v>
      </c>
      <c r="L194">
        <f t="shared" ref="L194:L257" si="7">J194-K194</f>
        <v>8640</v>
      </c>
    </row>
    <row r="195" spans="1:12" x14ac:dyDescent="0.3">
      <c r="A195" t="s">
        <v>252</v>
      </c>
      <c r="B195" s="2">
        <v>45757</v>
      </c>
      <c r="C195" t="s">
        <v>59</v>
      </c>
      <c r="D195" t="s">
        <v>72</v>
      </c>
      <c r="E195" t="s">
        <v>46</v>
      </c>
      <c r="F195" t="s">
        <v>21</v>
      </c>
      <c r="G195" t="s">
        <v>65</v>
      </c>
      <c r="H195">
        <v>14</v>
      </c>
      <c r="I195">
        <v>22000</v>
      </c>
      <c r="J195">
        <f t="shared" si="6"/>
        <v>308000</v>
      </c>
      <c r="K195">
        <f>J195*0.81</f>
        <v>249480.00000000003</v>
      </c>
      <c r="L195">
        <f t="shared" si="7"/>
        <v>58519.999999999971</v>
      </c>
    </row>
    <row r="196" spans="1:12" x14ac:dyDescent="0.3">
      <c r="A196" t="s">
        <v>253</v>
      </c>
      <c r="B196" s="2">
        <v>45893</v>
      </c>
      <c r="C196" t="s">
        <v>57</v>
      </c>
      <c r="D196" t="s">
        <v>14</v>
      </c>
      <c r="E196" t="s">
        <v>15</v>
      </c>
      <c r="F196" t="s">
        <v>21</v>
      </c>
      <c r="G196" t="s">
        <v>40</v>
      </c>
      <c r="H196">
        <v>3</v>
      </c>
      <c r="I196">
        <v>5000</v>
      </c>
      <c r="J196">
        <f t="shared" si="6"/>
        <v>15000</v>
      </c>
      <c r="K196">
        <f>J196*0.71</f>
        <v>10650</v>
      </c>
      <c r="L196">
        <f t="shared" si="7"/>
        <v>4350</v>
      </c>
    </row>
    <row r="197" spans="1:12" x14ac:dyDescent="0.3">
      <c r="A197" t="s">
        <v>254</v>
      </c>
      <c r="B197" s="2">
        <v>45764</v>
      </c>
      <c r="C197" t="s">
        <v>59</v>
      </c>
      <c r="D197" t="s">
        <v>64</v>
      </c>
      <c r="E197" t="s">
        <v>20</v>
      </c>
      <c r="F197" t="s">
        <v>16</v>
      </c>
      <c r="G197" t="s">
        <v>92</v>
      </c>
      <c r="H197">
        <v>2</v>
      </c>
      <c r="I197">
        <v>1200</v>
      </c>
      <c r="J197">
        <f t="shared" si="6"/>
        <v>2400</v>
      </c>
      <c r="K197">
        <f>J197*0.71</f>
        <v>1704</v>
      </c>
      <c r="L197">
        <f t="shared" si="7"/>
        <v>696</v>
      </c>
    </row>
    <row r="198" spans="1:12" x14ac:dyDescent="0.3">
      <c r="A198" t="s">
        <v>255</v>
      </c>
      <c r="B198" s="2">
        <v>45913</v>
      </c>
      <c r="C198" t="s">
        <v>13</v>
      </c>
      <c r="D198" t="s">
        <v>86</v>
      </c>
      <c r="E198" t="s">
        <v>20</v>
      </c>
      <c r="F198" t="s">
        <v>21</v>
      </c>
      <c r="G198" t="s">
        <v>65</v>
      </c>
      <c r="H198">
        <v>15</v>
      </c>
      <c r="I198">
        <v>22000</v>
      </c>
      <c r="J198">
        <f t="shared" si="6"/>
        <v>330000</v>
      </c>
      <c r="K198">
        <f>J198*0.83</f>
        <v>273900</v>
      </c>
      <c r="L198">
        <f t="shared" si="7"/>
        <v>56100</v>
      </c>
    </row>
    <row r="199" spans="1:12" x14ac:dyDescent="0.3">
      <c r="A199" t="s">
        <v>256</v>
      </c>
      <c r="B199" s="2">
        <v>45922</v>
      </c>
      <c r="C199" t="s">
        <v>13</v>
      </c>
      <c r="D199" t="s">
        <v>39</v>
      </c>
      <c r="E199" t="s">
        <v>15</v>
      </c>
      <c r="F199" t="s">
        <v>21</v>
      </c>
      <c r="G199" t="s">
        <v>54</v>
      </c>
      <c r="H199">
        <v>16</v>
      </c>
      <c r="I199">
        <v>18000</v>
      </c>
      <c r="J199">
        <f t="shared" si="6"/>
        <v>288000</v>
      </c>
      <c r="K199">
        <f>J199*0.74</f>
        <v>213120</v>
      </c>
      <c r="L199">
        <f t="shared" si="7"/>
        <v>74880</v>
      </c>
    </row>
    <row r="200" spans="1:12" x14ac:dyDescent="0.3">
      <c r="A200" t="s">
        <v>257</v>
      </c>
      <c r="B200" s="2">
        <v>45828</v>
      </c>
      <c r="C200" t="s">
        <v>43</v>
      </c>
      <c r="D200" t="s">
        <v>25</v>
      </c>
      <c r="E200" t="s">
        <v>15</v>
      </c>
      <c r="F200" t="s">
        <v>26</v>
      </c>
      <c r="G200" t="s">
        <v>44</v>
      </c>
      <c r="H200">
        <v>10</v>
      </c>
      <c r="I200">
        <v>25000</v>
      </c>
      <c r="J200">
        <f t="shared" si="6"/>
        <v>250000</v>
      </c>
      <c r="K200">
        <f>J200*0.82</f>
        <v>205000</v>
      </c>
      <c r="L200">
        <f t="shared" si="7"/>
        <v>45000</v>
      </c>
    </row>
    <row r="201" spans="1:12" x14ac:dyDescent="0.3">
      <c r="A201" t="s">
        <v>258</v>
      </c>
      <c r="B201" s="2">
        <v>45705</v>
      </c>
      <c r="C201" t="s">
        <v>50</v>
      </c>
      <c r="D201" t="s">
        <v>83</v>
      </c>
      <c r="E201" t="s">
        <v>46</v>
      </c>
      <c r="F201" t="s">
        <v>16</v>
      </c>
      <c r="G201" t="s">
        <v>17</v>
      </c>
      <c r="H201">
        <v>16</v>
      </c>
      <c r="I201">
        <v>300</v>
      </c>
      <c r="J201">
        <f t="shared" si="6"/>
        <v>4800</v>
      </c>
      <c r="K201">
        <f>J201*0.8</f>
        <v>3840</v>
      </c>
      <c r="L201">
        <f t="shared" si="7"/>
        <v>960</v>
      </c>
    </row>
    <row r="202" spans="1:12" x14ac:dyDescent="0.3">
      <c r="A202" t="s">
        <v>259</v>
      </c>
      <c r="B202" s="2">
        <v>45916</v>
      </c>
      <c r="C202" t="s">
        <v>13</v>
      </c>
      <c r="D202" t="s">
        <v>51</v>
      </c>
      <c r="E202" t="s">
        <v>20</v>
      </c>
      <c r="F202" t="s">
        <v>16</v>
      </c>
      <c r="G202" t="s">
        <v>92</v>
      </c>
      <c r="H202">
        <v>15</v>
      </c>
      <c r="I202">
        <v>1200</v>
      </c>
      <c r="J202">
        <f t="shared" si="6"/>
        <v>18000</v>
      </c>
      <c r="K202">
        <f>J202*0.75</f>
        <v>13500</v>
      </c>
      <c r="L202">
        <f t="shared" si="7"/>
        <v>4500</v>
      </c>
    </row>
    <row r="203" spans="1:12" x14ac:dyDescent="0.3">
      <c r="A203" t="s">
        <v>260</v>
      </c>
      <c r="B203" s="2">
        <v>45951</v>
      </c>
      <c r="C203" t="s">
        <v>38</v>
      </c>
      <c r="D203" t="s">
        <v>14</v>
      </c>
      <c r="E203" t="s">
        <v>15</v>
      </c>
      <c r="F203" t="s">
        <v>16</v>
      </c>
      <c r="G203" t="s">
        <v>17</v>
      </c>
      <c r="H203">
        <v>13</v>
      </c>
      <c r="I203">
        <v>300</v>
      </c>
      <c r="J203">
        <f t="shared" si="6"/>
        <v>3900</v>
      </c>
      <c r="K203">
        <f>J203*0.74</f>
        <v>2886</v>
      </c>
      <c r="L203">
        <f t="shared" si="7"/>
        <v>1014</v>
      </c>
    </row>
    <row r="204" spans="1:12" x14ac:dyDescent="0.3">
      <c r="A204" t="s">
        <v>261</v>
      </c>
      <c r="B204" s="2">
        <v>45769</v>
      </c>
      <c r="C204" t="s">
        <v>59</v>
      </c>
      <c r="D204" t="s">
        <v>33</v>
      </c>
      <c r="E204" t="s">
        <v>46</v>
      </c>
      <c r="F204" t="s">
        <v>26</v>
      </c>
      <c r="G204" t="s">
        <v>94</v>
      </c>
      <c r="H204">
        <v>17</v>
      </c>
      <c r="I204">
        <v>28000</v>
      </c>
      <c r="J204">
        <f t="shared" si="6"/>
        <v>476000</v>
      </c>
      <c r="K204">
        <f>J204*0.81</f>
        <v>385560</v>
      </c>
      <c r="L204">
        <f t="shared" si="7"/>
        <v>90440</v>
      </c>
    </row>
    <row r="205" spans="1:12" x14ac:dyDescent="0.3">
      <c r="A205" t="s">
        <v>262</v>
      </c>
      <c r="B205" s="2">
        <v>45745</v>
      </c>
      <c r="C205" t="s">
        <v>63</v>
      </c>
      <c r="D205" t="s">
        <v>25</v>
      </c>
      <c r="E205" t="s">
        <v>20</v>
      </c>
      <c r="F205" t="s">
        <v>16</v>
      </c>
      <c r="G205" t="s">
        <v>36</v>
      </c>
      <c r="H205">
        <v>3</v>
      </c>
      <c r="I205">
        <v>150</v>
      </c>
      <c r="J205">
        <f t="shared" si="6"/>
        <v>450</v>
      </c>
      <c r="K205">
        <f>J205*0.79</f>
        <v>355.5</v>
      </c>
      <c r="L205">
        <f t="shared" si="7"/>
        <v>94.5</v>
      </c>
    </row>
    <row r="206" spans="1:12" x14ac:dyDescent="0.3">
      <c r="A206" t="s">
        <v>263</v>
      </c>
      <c r="B206" s="2">
        <v>45710</v>
      </c>
      <c r="C206" t="s">
        <v>50</v>
      </c>
      <c r="D206" t="s">
        <v>19</v>
      </c>
      <c r="E206" t="s">
        <v>35</v>
      </c>
      <c r="F206" t="s">
        <v>16</v>
      </c>
      <c r="G206" t="s">
        <v>78</v>
      </c>
      <c r="H206">
        <v>15</v>
      </c>
      <c r="I206">
        <v>800</v>
      </c>
      <c r="J206">
        <f t="shared" si="6"/>
        <v>12000</v>
      </c>
      <c r="K206">
        <f>J206*0.85</f>
        <v>10200</v>
      </c>
      <c r="L206">
        <f t="shared" si="7"/>
        <v>1800</v>
      </c>
    </row>
    <row r="207" spans="1:12" x14ac:dyDescent="0.3">
      <c r="A207" t="s">
        <v>264</v>
      </c>
      <c r="B207" s="2">
        <v>45668</v>
      </c>
      <c r="C207" t="s">
        <v>29</v>
      </c>
      <c r="D207" t="s">
        <v>51</v>
      </c>
      <c r="E207" t="s">
        <v>15</v>
      </c>
      <c r="F207" t="s">
        <v>21</v>
      </c>
      <c r="G207" t="s">
        <v>54</v>
      </c>
      <c r="H207">
        <v>10</v>
      </c>
      <c r="I207">
        <v>18000</v>
      </c>
      <c r="J207">
        <f t="shared" si="6"/>
        <v>180000</v>
      </c>
      <c r="K207">
        <f>J207*0.82</f>
        <v>147600</v>
      </c>
      <c r="L207">
        <f t="shared" si="7"/>
        <v>32400</v>
      </c>
    </row>
    <row r="208" spans="1:12" x14ac:dyDescent="0.3">
      <c r="A208" t="s">
        <v>265</v>
      </c>
      <c r="B208" s="2">
        <v>45815</v>
      </c>
      <c r="C208" t="s">
        <v>43</v>
      </c>
      <c r="D208" t="s">
        <v>51</v>
      </c>
      <c r="E208" t="s">
        <v>20</v>
      </c>
      <c r="F208" t="s">
        <v>16</v>
      </c>
      <c r="G208" t="s">
        <v>92</v>
      </c>
      <c r="H208">
        <v>4</v>
      </c>
      <c r="I208">
        <v>1200</v>
      </c>
      <c r="J208">
        <f t="shared" si="6"/>
        <v>4800</v>
      </c>
      <c r="K208">
        <f>J208*0.85</f>
        <v>4080</v>
      </c>
      <c r="L208">
        <f t="shared" si="7"/>
        <v>720</v>
      </c>
    </row>
    <row r="209" spans="1:12" x14ac:dyDescent="0.3">
      <c r="A209" t="s">
        <v>266</v>
      </c>
      <c r="B209" s="2">
        <v>45845</v>
      </c>
      <c r="C209" t="s">
        <v>76</v>
      </c>
      <c r="D209" t="s">
        <v>14</v>
      </c>
      <c r="E209" t="s">
        <v>46</v>
      </c>
      <c r="F209" t="s">
        <v>21</v>
      </c>
      <c r="G209" t="s">
        <v>65</v>
      </c>
      <c r="H209">
        <v>12</v>
      </c>
      <c r="I209">
        <v>22000</v>
      </c>
      <c r="J209">
        <f t="shared" si="6"/>
        <v>264000</v>
      </c>
      <c r="K209">
        <f>J209*0.81</f>
        <v>213840</v>
      </c>
      <c r="L209">
        <f t="shared" si="7"/>
        <v>50160</v>
      </c>
    </row>
    <row r="210" spans="1:12" x14ac:dyDescent="0.3">
      <c r="A210" t="s">
        <v>267</v>
      </c>
      <c r="B210" s="2">
        <v>45900</v>
      </c>
      <c r="C210" t="s">
        <v>57</v>
      </c>
      <c r="D210" t="s">
        <v>86</v>
      </c>
      <c r="E210" t="s">
        <v>35</v>
      </c>
      <c r="F210" t="s">
        <v>21</v>
      </c>
      <c r="G210" t="s">
        <v>40</v>
      </c>
      <c r="H210">
        <v>12</v>
      </c>
      <c r="I210">
        <v>5000</v>
      </c>
      <c r="J210">
        <f t="shared" si="6"/>
        <v>60000</v>
      </c>
      <c r="K210">
        <f>J210*0.76</f>
        <v>45600</v>
      </c>
      <c r="L210">
        <f t="shared" si="7"/>
        <v>14400</v>
      </c>
    </row>
    <row r="211" spans="1:12" x14ac:dyDescent="0.3">
      <c r="A211" t="s">
        <v>268</v>
      </c>
      <c r="B211" s="2">
        <v>45834</v>
      </c>
      <c r="C211" t="s">
        <v>43</v>
      </c>
      <c r="D211" t="s">
        <v>14</v>
      </c>
      <c r="E211" t="s">
        <v>35</v>
      </c>
      <c r="F211" t="s">
        <v>16</v>
      </c>
      <c r="G211" t="s">
        <v>92</v>
      </c>
      <c r="H211">
        <v>7</v>
      </c>
      <c r="I211">
        <v>1200</v>
      </c>
      <c r="J211">
        <f t="shared" si="6"/>
        <v>8400</v>
      </c>
      <c r="K211">
        <f>J211*0.7</f>
        <v>5880</v>
      </c>
      <c r="L211">
        <f t="shared" si="7"/>
        <v>2520</v>
      </c>
    </row>
    <row r="212" spans="1:12" x14ac:dyDescent="0.3">
      <c r="A212" t="s">
        <v>269</v>
      </c>
      <c r="B212" s="2">
        <v>45667</v>
      </c>
      <c r="C212" t="s">
        <v>29</v>
      </c>
      <c r="D212" t="s">
        <v>83</v>
      </c>
      <c r="E212" t="s">
        <v>15</v>
      </c>
      <c r="F212" t="s">
        <v>16</v>
      </c>
      <c r="G212" t="s">
        <v>78</v>
      </c>
      <c r="H212">
        <v>20</v>
      </c>
      <c r="I212">
        <v>800</v>
      </c>
      <c r="J212">
        <f t="shared" si="6"/>
        <v>16000</v>
      </c>
      <c r="K212">
        <f>J212*0.83</f>
        <v>13280</v>
      </c>
      <c r="L212">
        <f t="shared" si="7"/>
        <v>2720</v>
      </c>
    </row>
    <row r="213" spans="1:12" x14ac:dyDescent="0.3">
      <c r="A213" t="s">
        <v>270</v>
      </c>
      <c r="B213" s="2">
        <v>45719</v>
      </c>
      <c r="C213" t="s">
        <v>63</v>
      </c>
      <c r="D213" t="s">
        <v>39</v>
      </c>
      <c r="E213" t="s">
        <v>15</v>
      </c>
      <c r="F213" t="s">
        <v>26</v>
      </c>
      <c r="G213" t="s">
        <v>52</v>
      </c>
      <c r="H213">
        <v>14</v>
      </c>
      <c r="I213">
        <v>35000</v>
      </c>
      <c r="J213">
        <f t="shared" si="6"/>
        <v>490000</v>
      </c>
      <c r="K213">
        <f>J213*0.81</f>
        <v>396900</v>
      </c>
      <c r="L213">
        <f t="shared" si="7"/>
        <v>93100</v>
      </c>
    </row>
    <row r="214" spans="1:12" x14ac:dyDescent="0.3">
      <c r="A214" t="s">
        <v>271</v>
      </c>
      <c r="B214" s="2">
        <v>45965</v>
      </c>
      <c r="C214" t="s">
        <v>32</v>
      </c>
      <c r="D214" t="s">
        <v>14</v>
      </c>
      <c r="E214" t="s">
        <v>35</v>
      </c>
      <c r="F214" t="s">
        <v>26</v>
      </c>
      <c r="G214" t="s">
        <v>27</v>
      </c>
      <c r="H214">
        <v>4</v>
      </c>
      <c r="I214">
        <v>45000</v>
      </c>
      <c r="J214">
        <f t="shared" si="6"/>
        <v>180000</v>
      </c>
      <c r="K214">
        <f>J214*0.82</f>
        <v>147600</v>
      </c>
      <c r="L214">
        <f t="shared" si="7"/>
        <v>32400</v>
      </c>
    </row>
    <row r="215" spans="1:12" x14ac:dyDescent="0.3">
      <c r="A215" t="s">
        <v>272</v>
      </c>
      <c r="B215" s="2">
        <v>45927</v>
      </c>
      <c r="C215" t="s">
        <v>13</v>
      </c>
      <c r="D215" t="s">
        <v>64</v>
      </c>
      <c r="E215" t="s">
        <v>35</v>
      </c>
      <c r="F215" t="s">
        <v>26</v>
      </c>
      <c r="G215" t="s">
        <v>44</v>
      </c>
      <c r="H215">
        <v>7</v>
      </c>
      <c r="I215">
        <v>25000</v>
      </c>
      <c r="J215">
        <f t="shared" si="6"/>
        <v>175000</v>
      </c>
      <c r="K215">
        <f>J215*0.8</f>
        <v>140000</v>
      </c>
      <c r="L215">
        <f t="shared" si="7"/>
        <v>35000</v>
      </c>
    </row>
    <row r="216" spans="1:12" x14ac:dyDescent="0.3">
      <c r="A216" t="s">
        <v>273</v>
      </c>
      <c r="B216" s="2">
        <v>45823</v>
      </c>
      <c r="C216" t="s">
        <v>43</v>
      </c>
      <c r="D216" t="s">
        <v>25</v>
      </c>
      <c r="E216" t="s">
        <v>30</v>
      </c>
      <c r="F216" t="s">
        <v>26</v>
      </c>
      <c r="G216" t="s">
        <v>127</v>
      </c>
      <c r="H216">
        <v>13</v>
      </c>
      <c r="I216">
        <v>1500</v>
      </c>
      <c r="J216">
        <f t="shared" si="6"/>
        <v>19500</v>
      </c>
      <c r="K216">
        <f>J216*0.82</f>
        <v>15989.999999999998</v>
      </c>
      <c r="L216">
        <f t="shared" si="7"/>
        <v>3510.0000000000018</v>
      </c>
    </row>
    <row r="217" spans="1:12" x14ac:dyDescent="0.3">
      <c r="A217" t="s">
        <v>274</v>
      </c>
      <c r="B217" s="2">
        <v>45662</v>
      </c>
      <c r="C217" t="s">
        <v>29</v>
      </c>
      <c r="D217" t="s">
        <v>39</v>
      </c>
      <c r="E217" t="s">
        <v>46</v>
      </c>
      <c r="F217" t="s">
        <v>21</v>
      </c>
      <c r="G217" t="s">
        <v>40</v>
      </c>
      <c r="H217">
        <v>6</v>
      </c>
      <c r="I217">
        <v>5000</v>
      </c>
      <c r="J217">
        <f t="shared" si="6"/>
        <v>30000</v>
      </c>
      <c r="K217">
        <f>J217*0.73</f>
        <v>21900</v>
      </c>
      <c r="L217">
        <f t="shared" si="7"/>
        <v>8100</v>
      </c>
    </row>
    <row r="218" spans="1:12" x14ac:dyDescent="0.3">
      <c r="A218" t="s">
        <v>275</v>
      </c>
      <c r="B218" s="2">
        <v>45658</v>
      </c>
      <c r="C218" t="s">
        <v>29</v>
      </c>
      <c r="D218" t="s">
        <v>72</v>
      </c>
      <c r="E218" t="s">
        <v>30</v>
      </c>
      <c r="F218" t="s">
        <v>16</v>
      </c>
      <c r="G218" t="s">
        <v>36</v>
      </c>
      <c r="H218">
        <v>9</v>
      </c>
      <c r="I218">
        <v>150</v>
      </c>
      <c r="J218">
        <f t="shared" si="6"/>
        <v>1350</v>
      </c>
      <c r="K218">
        <f>J218*0.73</f>
        <v>985.5</v>
      </c>
      <c r="L218">
        <f t="shared" si="7"/>
        <v>364.5</v>
      </c>
    </row>
    <row r="219" spans="1:12" x14ac:dyDescent="0.3">
      <c r="A219" t="s">
        <v>276</v>
      </c>
      <c r="B219" s="2">
        <v>45723</v>
      </c>
      <c r="C219" t="s">
        <v>63</v>
      </c>
      <c r="D219" t="s">
        <v>86</v>
      </c>
      <c r="E219" t="s">
        <v>35</v>
      </c>
      <c r="F219" t="s">
        <v>21</v>
      </c>
      <c r="G219" t="s">
        <v>65</v>
      </c>
      <c r="H219">
        <v>2</v>
      </c>
      <c r="I219">
        <v>22000</v>
      </c>
      <c r="J219">
        <f t="shared" si="6"/>
        <v>44000</v>
      </c>
      <c r="K219">
        <f>J219*0.83</f>
        <v>36520</v>
      </c>
      <c r="L219">
        <f t="shared" si="7"/>
        <v>7480</v>
      </c>
    </row>
    <row r="220" spans="1:12" x14ac:dyDescent="0.3">
      <c r="A220" t="s">
        <v>277</v>
      </c>
      <c r="B220" s="2">
        <v>45948</v>
      </c>
      <c r="C220" t="s">
        <v>38</v>
      </c>
      <c r="D220" t="s">
        <v>83</v>
      </c>
      <c r="E220" t="s">
        <v>15</v>
      </c>
      <c r="F220" t="s">
        <v>21</v>
      </c>
      <c r="G220" t="s">
        <v>65</v>
      </c>
      <c r="H220">
        <v>3</v>
      </c>
      <c r="I220">
        <v>22000</v>
      </c>
      <c r="J220">
        <f t="shared" si="6"/>
        <v>66000</v>
      </c>
      <c r="K220">
        <f>J220*0.75</f>
        <v>49500</v>
      </c>
      <c r="L220">
        <f t="shared" si="7"/>
        <v>16500</v>
      </c>
    </row>
    <row r="221" spans="1:12" x14ac:dyDescent="0.3">
      <c r="A221" t="s">
        <v>278</v>
      </c>
      <c r="B221" s="2">
        <v>45814</v>
      </c>
      <c r="C221" t="s">
        <v>43</v>
      </c>
      <c r="D221" t="s">
        <v>14</v>
      </c>
      <c r="E221" t="s">
        <v>46</v>
      </c>
      <c r="F221" t="s">
        <v>21</v>
      </c>
      <c r="G221" t="s">
        <v>65</v>
      </c>
      <c r="H221">
        <v>14</v>
      </c>
      <c r="I221">
        <v>22000</v>
      </c>
      <c r="J221">
        <f t="shared" si="6"/>
        <v>308000</v>
      </c>
      <c r="K221">
        <f>J221*0.8</f>
        <v>246400</v>
      </c>
      <c r="L221">
        <f t="shared" si="7"/>
        <v>61600</v>
      </c>
    </row>
    <row r="222" spans="1:12" x14ac:dyDescent="0.3">
      <c r="A222" t="s">
        <v>279</v>
      </c>
      <c r="B222" s="2">
        <v>46012</v>
      </c>
      <c r="C222" t="s">
        <v>24</v>
      </c>
      <c r="D222" t="s">
        <v>33</v>
      </c>
      <c r="E222" t="s">
        <v>35</v>
      </c>
      <c r="F222" t="s">
        <v>21</v>
      </c>
      <c r="G222" t="s">
        <v>74</v>
      </c>
      <c r="H222">
        <v>6</v>
      </c>
      <c r="I222">
        <v>12000</v>
      </c>
      <c r="J222">
        <f t="shared" si="6"/>
        <v>72000</v>
      </c>
      <c r="K222">
        <f>J222*0.77</f>
        <v>55440</v>
      </c>
      <c r="L222">
        <f t="shared" si="7"/>
        <v>16560</v>
      </c>
    </row>
    <row r="223" spans="1:12" x14ac:dyDescent="0.3">
      <c r="A223" t="s">
        <v>280</v>
      </c>
      <c r="B223" s="2">
        <v>45729</v>
      </c>
      <c r="C223" t="s">
        <v>63</v>
      </c>
      <c r="D223" t="s">
        <v>33</v>
      </c>
      <c r="E223" t="s">
        <v>30</v>
      </c>
      <c r="F223" t="s">
        <v>21</v>
      </c>
      <c r="G223" t="s">
        <v>22</v>
      </c>
      <c r="H223">
        <v>10</v>
      </c>
      <c r="I223">
        <v>15000</v>
      </c>
      <c r="J223">
        <f t="shared" si="6"/>
        <v>150000</v>
      </c>
      <c r="K223">
        <f>J223*0.7</f>
        <v>105000</v>
      </c>
      <c r="L223">
        <f t="shared" si="7"/>
        <v>45000</v>
      </c>
    </row>
    <row r="224" spans="1:12" x14ac:dyDescent="0.3">
      <c r="A224" t="s">
        <v>281</v>
      </c>
      <c r="B224" s="2">
        <v>45847</v>
      </c>
      <c r="C224" t="s">
        <v>76</v>
      </c>
      <c r="D224" t="s">
        <v>51</v>
      </c>
      <c r="E224" t="s">
        <v>46</v>
      </c>
      <c r="F224" t="s">
        <v>26</v>
      </c>
      <c r="G224" t="s">
        <v>69</v>
      </c>
      <c r="H224">
        <v>1</v>
      </c>
      <c r="I224">
        <v>2500</v>
      </c>
      <c r="J224">
        <f t="shared" si="6"/>
        <v>2500</v>
      </c>
      <c r="K224">
        <f>J224*0.81</f>
        <v>2025.0000000000002</v>
      </c>
      <c r="L224">
        <f t="shared" si="7"/>
        <v>474.99999999999977</v>
      </c>
    </row>
    <row r="225" spans="1:12" x14ac:dyDescent="0.3">
      <c r="A225" t="s">
        <v>282</v>
      </c>
      <c r="B225" s="2">
        <v>45746</v>
      </c>
      <c r="C225" t="s">
        <v>63</v>
      </c>
      <c r="D225" t="s">
        <v>33</v>
      </c>
      <c r="E225" t="s">
        <v>30</v>
      </c>
      <c r="F225" t="s">
        <v>26</v>
      </c>
      <c r="G225" t="s">
        <v>94</v>
      </c>
      <c r="H225">
        <v>12</v>
      </c>
      <c r="I225">
        <v>28000</v>
      </c>
      <c r="J225">
        <f t="shared" si="6"/>
        <v>336000</v>
      </c>
      <c r="K225">
        <f>J225*0.75</f>
        <v>252000</v>
      </c>
      <c r="L225">
        <f t="shared" si="7"/>
        <v>84000</v>
      </c>
    </row>
    <row r="226" spans="1:12" x14ac:dyDescent="0.3">
      <c r="A226" t="s">
        <v>283</v>
      </c>
      <c r="B226" s="2">
        <v>45856</v>
      </c>
      <c r="C226" t="s">
        <v>76</v>
      </c>
      <c r="D226" t="s">
        <v>19</v>
      </c>
      <c r="E226" t="s">
        <v>15</v>
      </c>
      <c r="F226" t="s">
        <v>16</v>
      </c>
      <c r="G226" t="s">
        <v>92</v>
      </c>
      <c r="H226">
        <v>12</v>
      </c>
      <c r="I226">
        <v>1200</v>
      </c>
      <c r="J226">
        <f t="shared" si="6"/>
        <v>14400</v>
      </c>
      <c r="K226">
        <f>J226*0.8</f>
        <v>11520</v>
      </c>
      <c r="L226">
        <f t="shared" si="7"/>
        <v>2880</v>
      </c>
    </row>
    <row r="227" spans="1:12" x14ac:dyDescent="0.3">
      <c r="A227" t="s">
        <v>284</v>
      </c>
      <c r="B227" s="2">
        <v>45849</v>
      </c>
      <c r="C227" t="s">
        <v>76</v>
      </c>
      <c r="D227" t="s">
        <v>72</v>
      </c>
      <c r="E227" t="s">
        <v>30</v>
      </c>
      <c r="F227" t="s">
        <v>16</v>
      </c>
      <c r="G227" t="s">
        <v>92</v>
      </c>
      <c r="H227">
        <v>11</v>
      </c>
      <c r="I227">
        <v>1200</v>
      </c>
      <c r="J227">
        <f t="shared" si="6"/>
        <v>13200</v>
      </c>
      <c r="K227">
        <f>J227*0.83</f>
        <v>10956</v>
      </c>
      <c r="L227">
        <f t="shared" si="7"/>
        <v>2244</v>
      </c>
    </row>
    <row r="228" spans="1:12" x14ac:dyDescent="0.3">
      <c r="A228" t="s">
        <v>285</v>
      </c>
      <c r="B228" s="2">
        <v>45690</v>
      </c>
      <c r="C228" t="s">
        <v>50</v>
      </c>
      <c r="D228" t="s">
        <v>33</v>
      </c>
      <c r="E228" t="s">
        <v>46</v>
      </c>
      <c r="F228" t="s">
        <v>26</v>
      </c>
      <c r="G228" t="s">
        <v>69</v>
      </c>
      <c r="H228">
        <v>15</v>
      </c>
      <c r="I228">
        <v>2500</v>
      </c>
      <c r="J228">
        <f t="shared" si="6"/>
        <v>37500</v>
      </c>
      <c r="K228">
        <f>J228*0.84</f>
        <v>31500</v>
      </c>
      <c r="L228">
        <f t="shared" si="7"/>
        <v>6000</v>
      </c>
    </row>
    <row r="229" spans="1:12" x14ac:dyDescent="0.3">
      <c r="A229" t="s">
        <v>286</v>
      </c>
      <c r="B229" s="2">
        <v>45936</v>
      </c>
      <c r="C229" t="s">
        <v>38</v>
      </c>
      <c r="D229" t="s">
        <v>39</v>
      </c>
      <c r="E229" t="s">
        <v>35</v>
      </c>
      <c r="F229" t="s">
        <v>16</v>
      </c>
      <c r="G229" t="s">
        <v>92</v>
      </c>
      <c r="H229">
        <v>2</v>
      </c>
      <c r="I229">
        <v>1200</v>
      </c>
      <c r="J229">
        <f t="shared" si="6"/>
        <v>2400</v>
      </c>
      <c r="K229">
        <f>J229*0.77</f>
        <v>1848</v>
      </c>
      <c r="L229">
        <f t="shared" si="7"/>
        <v>552</v>
      </c>
    </row>
    <row r="230" spans="1:12" x14ac:dyDescent="0.3">
      <c r="A230" t="s">
        <v>287</v>
      </c>
      <c r="B230" s="2">
        <v>45779</v>
      </c>
      <c r="C230" t="s">
        <v>48</v>
      </c>
      <c r="D230" t="s">
        <v>14</v>
      </c>
      <c r="E230" t="s">
        <v>30</v>
      </c>
      <c r="F230" t="s">
        <v>16</v>
      </c>
      <c r="G230" t="s">
        <v>17</v>
      </c>
      <c r="H230">
        <v>19</v>
      </c>
      <c r="I230">
        <v>300</v>
      </c>
      <c r="J230">
        <f t="shared" si="6"/>
        <v>5700</v>
      </c>
      <c r="K230">
        <f>J230*0.82</f>
        <v>4674</v>
      </c>
      <c r="L230">
        <f t="shared" si="7"/>
        <v>1026</v>
      </c>
    </row>
    <row r="231" spans="1:12" x14ac:dyDescent="0.3">
      <c r="A231" t="s">
        <v>288</v>
      </c>
      <c r="B231" s="2">
        <v>45779</v>
      </c>
      <c r="C231" t="s">
        <v>48</v>
      </c>
      <c r="D231" t="s">
        <v>14</v>
      </c>
      <c r="E231" t="s">
        <v>20</v>
      </c>
      <c r="F231" t="s">
        <v>16</v>
      </c>
      <c r="G231" t="s">
        <v>78</v>
      </c>
      <c r="H231">
        <v>3</v>
      </c>
      <c r="I231">
        <v>800</v>
      </c>
      <c r="J231">
        <f t="shared" si="6"/>
        <v>2400</v>
      </c>
      <c r="K231">
        <f>J231*0.84</f>
        <v>2016</v>
      </c>
      <c r="L231">
        <f t="shared" si="7"/>
        <v>384</v>
      </c>
    </row>
    <row r="232" spans="1:12" x14ac:dyDescent="0.3">
      <c r="A232" t="s">
        <v>289</v>
      </c>
      <c r="B232" s="2">
        <v>45854</v>
      </c>
      <c r="C232" t="s">
        <v>76</v>
      </c>
      <c r="D232" t="s">
        <v>72</v>
      </c>
      <c r="E232" t="s">
        <v>15</v>
      </c>
      <c r="F232" t="s">
        <v>21</v>
      </c>
      <c r="G232" t="s">
        <v>22</v>
      </c>
      <c r="H232">
        <v>20</v>
      </c>
      <c r="I232">
        <v>15000</v>
      </c>
      <c r="J232">
        <f t="shared" si="6"/>
        <v>300000</v>
      </c>
      <c r="K232">
        <f>J232*0.72</f>
        <v>216000</v>
      </c>
      <c r="L232">
        <f t="shared" si="7"/>
        <v>84000</v>
      </c>
    </row>
    <row r="233" spans="1:12" x14ac:dyDescent="0.3">
      <c r="A233" t="s">
        <v>290</v>
      </c>
      <c r="B233" s="2">
        <v>45792</v>
      </c>
      <c r="C233" t="s">
        <v>48</v>
      </c>
      <c r="D233" t="s">
        <v>25</v>
      </c>
      <c r="E233" t="s">
        <v>35</v>
      </c>
      <c r="F233" t="s">
        <v>26</v>
      </c>
      <c r="G233" t="s">
        <v>111</v>
      </c>
      <c r="H233">
        <v>8</v>
      </c>
      <c r="I233">
        <v>85000</v>
      </c>
      <c r="J233">
        <f t="shared" si="6"/>
        <v>680000</v>
      </c>
      <c r="K233">
        <f>J233*0.74</f>
        <v>503200</v>
      </c>
      <c r="L233">
        <f t="shared" si="7"/>
        <v>176800</v>
      </c>
    </row>
    <row r="234" spans="1:12" x14ac:dyDescent="0.3">
      <c r="A234" t="s">
        <v>291</v>
      </c>
      <c r="B234" s="2">
        <v>45745</v>
      </c>
      <c r="C234" t="s">
        <v>63</v>
      </c>
      <c r="D234" t="s">
        <v>72</v>
      </c>
      <c r="E234" t="s">
        <v>30</v>
      </c>
      <c r="F234" t="s">
        <v>26</v>
      </c>
      <c r="G234" t="s">
        <v>127</v>
      </c>
      <c r="H234">
        <v>19</v>
      </c>
      <c r="I234">
        <v>1500</v>
      </c>
      <c r="J234">
        <f t="shared" si="6"/>
        <v>28500</v>
      </c>
      <c r="K234">
        <f>J234*0.72</f>
        <v>20520</v>
      </c>
      <c r="L234">
        <f t="shared" si="7"/>
        <v>7980</v>
      </c>
    </row>
    <row r="235" spans="1:12" x14ac:dyDescent="0.3">
      <c r="A235" t="s">
        <v>292</v>
      </c>
      <c r="B235" s="2">
        <v>45889</v>
      </c>
      <c r="C235" t="s">
        <v>57</v>
      </c>
      <c r="D235" t="s">
        <v>51</v>
      </c>
      <c r="E235" t="s">
        <v>35</v>
      </c>
      <c r="F235" t="s">
        <v>26</v>
      </c>
      <c r="G235" t="s">
        <v>111</v>
      </c>
      <c r="H235">
        <v>7</v>
      </c>
      <c r="I235">
        <v>85000</v>
      </c>
      <c r="J235">
        <f t="shared" si="6"/>
        <v>595000</v>
      </c>
      <c r="K235">
        <f>J235*0.76</f>
        <v>452200</v>
      </c>
      <c r="L235">
        <f t="shared" si="7"/>
        <v>142800</v>
      </c>
    </row>
    <row r="236" spans="1:12" x14ac:dyDescent="0.3">
      <c r="A236" t="s">
        <v>293</v>
      </c>
      <c r="B236" s="2">
        <v>45761</v>
      </c>
      <c r="C236" t="s">
        <v>59</v>
      </c>
      <c r="D236" t="s">
        <v>39</v>
      </c>
      <c r="E236" t="s">
        <v>35</v>
      </c>
      <c r="F236" t="s">
        <v>21</v>
      </c>
      <c r="G236" t="s">
        <v>54</v>
      </c>
      <c r="H236">
        <v>7</v>
      </c>
      <c r="I236">
        <v>18000</v>
      </c>
      <c r="J236">
        <f t="shared" si="6"/>
        <v>126000</v>
      </c>
      <c r="K236">
        <f>J236*0.71</f>
        <v>89460</v>
      </c>
      <c r="L236">
        <f t="shared" si="7"/>
        <v>36540</v>
      </c>
    </row>
    <row r="237" spans="1:12" x14ac:dyDescent="0.3">
      <c r="A237" t="s">
        <v>294</v>
      </c>
      <c r="B237" s="2">
        <v>45971</v>
      </c>
      <c r="C237" t="s">
        <v>32</v>
      </c>
      <c r="D237" t="s">
        <v>86</v>
      </c>
      <c r="E237" t="s">
        <v>20</v>
      </c>
      <c r="F237" t="s">
        <v>16</v>
      </c>
      <c r="G237" t="s">
        <v>17</v>
      </c>
      <c r="H237">
        <v>19</v>
      </c>
      <c r="I237">
        <v>300</v>
      </c>
      <c r="J237">
        <f t="shared" si="6"/>
        <v>5700</v>
      </c>
      <c r="K237">
        <f>J237*0.73</f>
        <v>4161</v>
      </c>
      <c r="L237">
        <f t="shared" si="7"/>
        <v>1539</v>
      </c>
    </row>
    <row r="238" spans="1:12" x14ac:dyDescent="0.3">
      <c r="A238" t="s">
        <v>295</v>
      </c>
      <c r="B238" s="2">
        <v>45778</v>
      </c>
      <c r="C238" t="s">
        <v>48</v>
      </c>
      <c r="D238" t="s">
        <v>25</v>
      </c>
      <c r="E238" t="s">
        <v>15</v>
      </c>
      <c r="F238" t="s">
        <v>21</v>
      </c>
      <c r="G238" t="s">
        <v>54</v>
      </c>
      <c r="H238">
        <v>7</v>
      </c>
      <c r="I238">
        <v>18000</v>
      </c>
      <c r="J238">
        <f t="shared" si="6"/>
        <v>126000</v>
      </c>
      <c r="K238">
        <f>J238*0.78</f>
        <v>98280</v>
      </c>
      <c r="L238">
        <f t="shared" si="7"/>
        <v>27720</v>
      </c>
    </row>
    <row r="239" spans="1:12" x14ac:dyDescent="0.3">
      <c r="A239" t="s">
        <v>296</v>
      </c>
      <c r="B239" s="2">
        <v>45848</v>
      </c>
      <c r="C239" t="s">
        <v>76</v>
      </c>
      <c r="D239" t="s">
        <v>83</v>
      </c>
      <c r="E239" t="s">
        <v>35</v>
      </c>
      <c r="F239" t="s">
        <v>26</v>
      </c>
      <c r="G239" t="s">
        <v>94</v>
      </c>
      <c r="H239">
        <v>17</v>
      </c>
      <c r="I239">
        <v>28000</v>
      </c>
      <c r="J239">
        <f t="shared" si="6"/>
        <v>476000</v>
      </c>
      <c r="K239">
        <f>J239*0.8</f>
        <v>380800</v>
      </c>
      <c r="L239">
        <f t="shared" si="7"/>
        <v>95200</v>
      </c>
    </row>
    <row r="240" spans="1:12" x14ac:dyDescent="0.3">
      <c r="A240" t="s">
        <v>297</v>
      </c>
      <c r="B240" s="2">
        <v>45961</v>
      </c>
      <c r="C240" t="s">
        <v>38</v>
      </c>
      <c r="D240" t="s">
        <v>14</v>
      </c>
      <c r="E240" t="s">
        <v>30</v>
      </c>
      <c r="F240" t="s">
        <v>21</v>
      </c>
      <c r="G240" t="s">
        <v>22</v>
      </c>
      <c r="H240">
        <v>19</v>
      </c>
      <c r="I240">
        <v>15000</v>
      </c>
      <c r="J240">
        <f t="shared" si="6"/>
        <v>285000</v>
      </c>
      <c r="K240">
        <f>J240*0.77</f>
        <v>219450</v>
      </c>
      <c r="L240">
        <f t="shared" si="7"/>
        <v>65550</v>
      </c>
    </row>
    <row r="241" spans="1:12" x14ac:dyDescent="0.3">
      <c r="A241" t="s">
        <v>298</v>
      </c>
      <c r="B241" s="2">
        <v>46012</v>
      </c>
      <c r="C241" t="s">
        <v>24</v>
      </c>
      <c r="D241" t="s">
        <v>25</v>
      </c>
      <c r="E241" t="s">
        <v>20</v>
      </c>
      <c r="F241" t="s">
        <v>16</v>
      </c>
      <c r="G241" t="s">
        <v>78</v>
      </c>
      <c r="H241">
        <v>18</v>
      </c>
      <c r="I241">
        <v>800</v>
      </c>
      <c r="J241">
        <f t="shared" si="6"/>
        <v>14400</v>
      </c>
      <c r="K241">
        <f>J241*0.85</f>
        <v>12240</v>
      </c>
      <c r="L241">
        <f t="shared" si="7"/>
        <v>2160</v>
      </c>
    </row>
    <row r="242" spans="1:12" x14ac:dyDescent="0.3">
      <c r="A242" t="s">
        <v>299</v>
      </c>
      <c r="B242" s="2">
        <v>45731</v>
      </c>
      <c r="C242" t="s">
        <v>63</v>
      </c>
      <c r="D242" t="s">
        <v>33</v>
      </c>
      <c r="E242" t="s">
        <v>30</v>
      </c>
      <c r="F242" t="s">
        <v>16</v>
      </c>
      <c r="G242" t="s">
        <v>92</v>
      </c>
      <c r="H242">
        <v>5</v>
      </c>
      <c r="I242">
        <v>1200</v>
      </c>
      <c r="J242">
        <f t="shared" si="6"/>
        <v>6000</v>
      </c>
      <c r="K242">
        <f>J242*0.78</f>
        <v>4680</v>
      </c>
      <c r="L242">
        <f t="shared" si="7"/>
        <v>1320</v>
      </c>
    </row>
    <row r="243" spans="1:12" x14ac:dyDescent="0.3">
      <c r="A243" t="s">
        <v>300</v>
      </c>
      <c r="B243" s="2">
        <v>45996</v>
      </c>
      <c r="C243" t="s">
        <v>24</v>
      </c>
      <c r="D243" t="s">
        <v>83</v>
      </c>
      <c r="E243" t="s">
        <v>30</v>
      </c>
      <c r="F243" t="s">
        <v>16</v>
      </c>
      <c r="G243" t="s">
        <v>78</v>
      </c>
      <c r="H243">
        <v>8</v>
      </c>
      <c r="I243">
        <v>800</v>
      </c>
      <c r="J243">
        <f t="shared" si="6"/>
        <v>6400</v>
      </c>
      <c r="K243">
        <f>J243*0.81</f>
        <v>5184</v>
      </c>
      <c r="L243">
        <f t="shared" si="7"/>
        <v>1216</v>
      </c>
    </row>
    <row r="244" spans="1:12" x14ac:dyDescent="0.3">
      <c r="A244" t="s">
        <v>301</v>
      </c>
      <c r="B244" s="2">
        <v>45750</v>
      </c>
      <c r="C244" t="s">
        <v>59</v>
      </c>
      <c r="D244" t="s">
        <v>14</v>
      </c>
      <c r="E244" t="s">
        <v>46</v>
      </c>
      <c r="F244" t="s">
        <v>26</v>
      </c>
      <c r="G244" t="s">
        <v>111</v>
      </c>
      <c r="H244">
        <v>15</v>
      </c>
      <c r="I244">
        <v>85000</v>
      </c>
      <c r="J244">
        <f t="shared" si="6"/>
        <v>1275000</v>
      </c>
      <c r="K244">
        <f>J244*0.77</f>
        <v>981750</v>
      </c>
      <c r="L244">
        <f t="shared" si="7"/>
        <v>293250</v>
      </c>
    </row>
    <row r="245" spans="1:12" x14ac:dyDescent="0.3">
      <c r="A245" t="s">
        <v>302</v>
      </c>
      <c r="B245" s="2">
        <v>45837</v>
      </c>
      <c r="C245" t="s">
        <v>43</v>
      </c>
      <c r="D245" t="s">
        <v>25</v>
      </c>
      <c r="E245" t="s">
        <v>35</v>
      </c>
      <c r="F245" t="s">
        <v>26</v>
      </c>
      <c r="G245" t="s">
        <v>127</v>
      </c>
      <c r="H245">
        <v>3</v>
      </c>
      <c r="I245">
        <v>1500</v>
      </c>
      <c r="J245">
        <f t="shared" si="6"/>
        <v>4500</v>
      </c>
      <c r="K245">
        <f>J245*0.81</f>
        <v>3645.0000000000005</v>
      </c>
      <c r="L245">
        <f t="shared" si="7"/>
        <v>854.99999999999955</v>
      </c>
    </row>
    <row r="246" spans="1:12" x14ac:dyDescent="0.3">
      <c r="A246" t="s">
        <v>303</v>
      </c>
      <c r="B246" s="2">
        <v>45757</v>
      </c>
      <c r="C246" t="s">
        <v>59</v>
      </c>
      <c r="D246" t="s">
        <v>39</v>
      </c>
      <c r="E246" t="s">
        <v>30</v>
      </c>
      <c r="F246" t="s">
        <v>16</v>
      </c>
      <c r="G246" t="s">
        <v>36</v>
      </c>
      <c r="H246">
        <v>15</v>
      </c>
      <c r="I246">
        <v>150</v>
      </c>
      <c r="J246">
        <f t="shared" si="6"/>
        <v>2250</v>
      </c>
      <c r="K246">
        <f>J246*0.76</f>
        <v>1710</v>
      </c>
      <c r="L246">
        <f t="shared" si="7"/>
        <v>540</v>
      </c>
    </row>
    <row r="247" spans="1:12" x14ac:dyDescent="0.3">
      <c r="A247" t="s">
        <v>304</v>
      </c>
      <c r="B247" s="2">
        <v>45843</v>
      </c>
      <c r="C247" t="s">
        <v>76</v>
      </c>
      <c r="D247" t="s">
        <v>86</v>
      </c>
      <c r="E247" t="s">
        <v>46</v>
      </c>
      <c r="F247" t="s">
        <v>21</v>
      </c>
      <c r="G247" t="s">
        <v>54</v>
      </c>
      <c r="H247">
        <v>10</v>
      </c>
      <c r="I247">
        <v>18000</v>
      </c>
      <c r="J247">
        <f t="shared" si="6"/>
        <v>180000</v>
      </c>
      <c r="K247">
        <f>J247*0.82</f>
        <v>147600</v>
      </c>
      <c r="L247">
        <f t="shared" si="7"/>
        <v>32400</v>
      </c>
    </row>
    <row r="248" spans="1:12" x14ac:dyDescent="0.3">
      <c r="A248" t="s">
        <v>305</v>
      </c>
      <c r="B248" s="2">
        <v>45965</v>
      </c>
      <c r="C248" t="s">
        <v>32</v>
      </c>
      <c r="D248" t="s">
        <v>25</v>
      </c>
      <c r="E248" t="s">
        <v>35</v>
      </c>
      <c r="F248" t="s">
        <v>16</v>
      </c>
      <c r="G248" t="s">
        <v>60</v>
      </c>
      <c r="H248">
        <v>14</v>
      </c>
      <c r="I248">
        <v>250</v>
      </c>
      <c r="J248">
        <f t="shared" si="6"/>
        <v>3500</v>
      </c>
      <c r="K248">
        <f>J248*0.83</f>
        <v>2905</v>
      </c>
      <c r="L248">
        <f t="shared" si="7"/>
        <v>595</v>
      </c>
    </row>
    <row r="249" spans="1:12" x14ac:dyDescent="0.3">
      <c r="A249" t="s">
        <v>306</v>
      </c>
      <c r="B249" s="2">
        <v>45913</v>
      </c>
      <c r="C249" t="s">
        <v>13</v>
      </c>
      <c r="D249" t="s">
        <v>14</v>
      </c>
      <c r="E249" t="s">
        <v>46</v>
      </c>
      <c r="F249" t="s">
        <v>21</v>
      </c>
      <c r="G249" t="s">
        <v>65</v>
      </c>
      <c r="H249">
        <v>18</v>
      </c>
      <c r="I249">
        <v>22000</v>
      </c>
      <c r="J249">
        <f t="shared" si="6"/>
        <v>396000</v>
      </c>
      <c r="K249">
        <f>J249*0.81</f>
        <v>320760</v>
      </c>
      <c r="L249">
        <f t="shared" si="7"/>
        <v>75240</v>
      </c>
    </row>
    <row r="250" spans="1:12" x14ac:dyDescent="0.3">
      <c r="A250" t="s">
        <v>307</v>
      </c>
      <c r="B250" s="2">
        <v>45980</v>
      </c>
      <c r="C250" t="s">
        <v>32</v>
      </c>
      <c r="D250" t="s">
        <v>64</v>
      </c>
      <c r="E250" t="s">
        <v>30</v>
      </c>
      <c r="F250" t="s">
        <v>16</v>
      </c>
      <c r="G250" t="s">
        <v>36</v>
      </c>
      <c r="H250">
        <v>5</v>
      </c>
      <c r="I250">
        <v>150</v>
      </c>
      <c r="J250">
        <f t="shared" si="6"/>
        <v>750</v>
      </c>
      <c r="K250">
        <f>J250*0.82</f>
        <v>615</v>
      </c>
      <c r="L250">
        <f t="shared" si="7"/>
        <v>135</v>
      </c>
    </row>
    <row r="251" spans="1:12" x14ac:dyDescent="0.3">
      <c r="A251" t="s">
        <v>308</v>
      </c>
      <c r="B251" s="2">
        <v>45688</v>
      </c>
      <c r="C251" t="s">
        <v>29</v>
      </c>
      <c r="D251" t="s">
        <v>14</v>
      </c>
      <c r="E251" t="s">
        <v>46</v>
      </c>
      <c r="F251" t="s">
        <v>26</v>
      </c>
      <c r="G251" t="s">
        <v>111</v>
      </c>
      <c r="H251">
        <v>19</v>
      </c>
      <c r="I251">
        <v>85000</v>
      </c>
      <c r="J251">
        <f t="shared" si="6"/>
        <v>1615000</v>
      </c>
      <c r="K251">
        <f>J251*0.83</f>
        <v>1340450</v>
      </c>
      <c r="L251">
        <f t="shared" si="7"/>
        <v>274550</v>
      </c>
    </row>
    <row r="252" spans="1:12" x14ac:dyDescent="0.3">
      <c r="A252" t="s">
        <v>309</v>
      </c>
      <c r="B252" s="2">
        <v>45969</v>
      </c>
      <c r="C252" t="s">
        <v>32</v>
      </c>
      <c r="D252" t="s">
        <v>14</v>
      </c>
      <c r="E252" t="s">
        <v>20</v>
      </c>
      <c r="F252" t="s">
        <v>16</v>
      </c>
      <c r="G252" t="s">
        <v>60</v>
      </c>
      <c r="H252">
        <v>4</v>
      </c>
      <c r="I252">
        <v>250</v>
      </c>
      <c r="J252">
        <f t="shared" si="6"/>
        <v>1000</v>
      </c>
      <c r="K252">
        <f>J252*0.71</f>
        <v>710</v>
      </c>
      <c r="L252">
        <f t="shared" si="7"/>
        <v>290</v>
      </c>
    </row>
    <row r="253" spans="1:12" x14ac:dyDescent="0.3">
      <c r="A253" t="s">
        <v>310</v>
      </c>
      <c r="B253" s="2">
        <v>45789</v>
      </c>
      <c r="C253" t="s">
        <v>48</v>
      </c>
      <c r="D253" t="s">
        <v>25</v>
      </c>
      <c r="E253" t="s">
        <v>46</v>
      </c>
      <c r="F253" t="s">
        <v>26</v>
      </c>
      <c r="G253" t="s">
        <v>127</v>
      </c>
      <c r="H253">
        <v>3</v>
      </c>
      <c r="I253">
        <v>1500</v>
      </c>
      <c r="J253">
        <f t="shared" si="6"/>
        <v>4500</v>
      </c>
      <c r="K253">
        <f>J253*0.84</f>
        <v>3780</v>
      </c>
      <c r="L253">
        <f t="shared" si="7"/>
        <v>720</v>
      </c>
    </row>
    <row r="254" spans="1:12" x14ac:dyDescent="0.3">
      <c r="A254" t="s">
        <v>311</v>
      </c>
      <c r="B254" s="2">
        <v>45692</v>
      </c>
      <c r="C254" t="s">
        <v>50</v>
      </c>
      <c r="D254" t="s">
        <v>14</v>
      </c>
      <c r="E254" t="s">
        <v>46</v>
      </c>
      <c r="F254" t="s">
        <v>26</v>
      </c>
      <c r="G254" t="s">
        <v>111</v>
      </c>
      <c r="H254">
        <v>19</v>
      </c>
      <c r="I254">
        <v>85000</v>
      </c>
      <c r="J254">
        <f t="shared" si="6"/>
        <v>1615000</v>
      </c>
      <c r="K254">
        <f>J254*0.71</f>
        <v>1146650</v>
      </c>
      <c r="L254">
        <f t="shared" si="7"/>
        <v>468350</v>
      </c>
    </row>
    <row r="255" spans="1:12" x14ac:dyDescent="0.3">
      <c r="A255" t="s">
        <v>312</v>
      </c>
      <c r="B255" s="2">
        <v>45742</v>
      </c>
      <c r="C255" t="s">
        <v>63</v>
      </c>
      <c r="D255" t="s">
        <v>25</v>
      </c>
      <c r="E255" t="s">
        <v>46</v>
      </c>
      <c r="F255" t="s">
        <v>16</v>
      </c>
      <c r="G255" t="s">
        <v>78</v>
      </c>
      <c r="H255">
        <v>6</v>
      </c>
      <c r="I255">
        <v>800</v>
      </c>
      <c r="J255">
        <f t="shared" si="6"/>
        <v>4800</v>
      </c>
      <c r="K255">
        <f>J255*0.76</f>
        <v>3648</v>
      </c>
      <c r="L255">
        <f t="shared" si="7"/>
        <v>1152</v>
      </c>
    </row>
    <row r="256" spans="1:12" x14ac:dyDescent="0.3">
      <c r="A256" t="s">
        <v>313</v>
      </c>
      <c r="B256" s="2">
        <v>45905</v>
      </c>
      <c r="C256" t="s">
        <v>13</v>
      </c>
      <c r="D256" t="s">
        <v>19</v>
      </c>
      <c r="E256" t="s">
        <v>30</v>
      </c>
      <c r="F256" t="s">
        <v>16</v>
      </c>
      <c r="G256" t="s">
        <v>78</v>
      </c>
      <c r="H256">
        <v>17</v>
      </c>
      <c r="I256">
        <v>800</v>
      </c>
      <c r="J256">
        <f t="shared" si="6"/>
        <v>13600</v>
      </c>
      <c r="K256">
        <f>J256*0.71</f>
        <v>9656</v>
      </c>
      <c r="L256">
        <f t="shared" si="7"/>
        <v>3944</v>
      </c>
    </row>
    <row r="257" spans="1:12" x14ac:dyDescent="0.3">
      <c r="A257" t="s">
        <v>314</v>
      </c>
      <c r="B257" s="2">
        <v>45833</v>
      </c>
      <c r="C257" t="s">
        <v>43</v>
      </c>
      <c r="D257" t="s">
        <v>19</v>
      </c>
      <c r="E257" t="s">
        <v>46</v>
      </c>
      <c r="F257" t="s">
        <v>16</v>
      </c>
      <c r="G257" t="s">
        <v>17</v>
      </c>
      <c r="H257">
        <v>5</v>
      </c>
      <c r="I257">
        <v>300</v>
      </c>
      <c r="J257">
        <f t="shared" si="6"/>
        <v>1500</v>
      </c>
      <c r="K257">
        <f>J257*0.71</f>
        <v>1065</v>
      </c>
      <c r="L257">
        <f t="shared" si="7"/>
        <v>435</v>
      </c>
    </row>
    <row r="258" spans="1:12" x14ac:dyDescent="0.3">
      <c r="A258" t="s">
        <v>315</v>
      </c>
      <c r="B258" s="2">
        <v>45950</v>
      </c>
      <c r="C258" t="s">
        <v>38</v>
      </c>
      <c r="D258" t="s">
        <v>64</v>
      </c>
      <c r="E258" t="s">
        <v>46</v>
      </c>
      <c r="F258" t="s">
        <v>16</v>
      </c>
      <c r="G258" t="s">
        <v>78</v>
      </c>
      <c r="H258">
        <v>1</v>
      </c>
      <c r="I258">
        <v>800</v>
      </c>
      <c r="J258">
        <f t="shared" ref="J258:J321" si="8">H258*I258</f>
        <v>800</v>
      </c>
      <c r="K258">
        <f>J258*0.78</f>
        <v>624</v>
      </c>
      <c r="L258">
        <f t="shared" ref="L258:L321" si="9">J258-K258</f>
        <v>176</v>
      </c>
    </row>
    <row r="259" spans="1:12" x14ac:dyDescent="0.3">
      <c r="A259" t="s">
        <v>316</v>
      </c>
      <c r="B259" s="2">
        <v>45788</v>
      </c>
      <c r="C259" t="s">
        <v>48</v>
      </c>
      <c r="D259" t="s">
        <v>51</v>
      </c>
      <c r="E259" t="s">
        <v>30</v>
      </c>
      <c r="F259" t="s">
        <v>26</v>
      </c>
      <c r="G259" t="s">
        <v>69</v>
      </c>
      <c r="H259">
        <v>8</v>
      </c>
      <c r="I259">
        <v>2500</v>
      </c>
      <c r="J259">
        <f t="shared" si="8"/>
        <v>20000</v>
      </c>
      <c r="K259">
        <f>J259*0.75</f>
        <v>15000</v>
      </c>
      <c r="L259">
        <f t="shared" si="9"/>
        <v>5000</v>
      </c>
    </row>
    <row r="260" spans="1:12" x14ac:dyDescent="0.3">
      <c r="A260" t="s">
        <v>317</v>
      </c>
      <c r="B260" s="2">
        <v>45853</v>
      </c>
      <c r="C260" t="s">
        <v>76</v>
      </c>
      <c r="D260" t="s">
        <v>19</v>
      </c>
      <c r="E260" t="s">
        <v>20</v>
      </c>
      <c r="F260" t="s">
        <v>16</v>
      </c>
      <c r="G260" t="s">
        <v>92</v>
      </c>
      <c r="H260">
        <v>1</v>
      </c>
      <c r="I260">
        <v>1200</v>
      </c>
      <c r="J260">
        <f t="shared" si="8"/>
        <v>1200</v>
      </c>
      <c r="K260">
        <f>J260*0.71</f>
        <v>852</v>
      </c>
      <c r="L260">
        <f t="shared" si="9"/>
        <v>348</v>
      </c>
    </row>
    <row r="261" spans="1:12" x14ac:dyDescent="0.3">
      <c r="A261" t="s">
        <v>318</v>
      </c>
      <c r="B261" s="2">
        <v>45664</v>
      </c>
      <c r="C261" t="s">
        <v>29</v>
      </c>
      <c r="D261" t="s">
        <v>33</v>
      </c>
      <c r="E261" t="s">
        <v>15</v>
      </c>
      <c r="F261" t="s">
        <v>16</v>
      </c>
      <c r="G261" t="s">
        <v>36</v>
      </c>
      <c r="H261">
        <v>2</v>
      </c>
      <c r="I261">
        <v>150</v>
      </c>
      <c r="J261">
        <f t="shared" si="8"/>
        <v>300</v>
      </c>
      <c r="K261">
        <f>J261*0.82</f>
        <v>245.99999999999997</v>
      </c>
      <c r="L261">
        <f t="shared" si="9"/>
        <v>54.000000000000028</v>
      </c>
    </row>
    <row r="262" spans="1:12" x14ac:dyDescent="0.3">
      <c r="A262" t="s">
        <v>319</v>
      </c>
      <c r="B262" s="2">
        <v>45704</v>
      </c>
      <c r="C262" t="s">
        <v>50</v>
      </c>
      <c r="D262" t="s">
        <v>33</v>
      </c>
      <c r="E262" t="s">
        <v>30</v>
      </c>
      <c r="F262" t="s">
        <v>21</v>
      </c>
      <c r="G262" t="s">
        <v>74</v>
      </c>
      <c r="H262">
        <v>18</v>
      </c>
      <c r="I262">
        <v>12000</v>
      </c>
      <c r="J262">
        <f t="shared" si="8"/>
        <v>216000</v>
      </c>
      <c r="K262">
        <f>J262*0.84</f>
        <v>181440</v>
      </c>
      <c r="L262">
        <f t="shared" si="9"/>
        <v>34560</v>
      </c>
    </row>
    <row r="263" spans="1:12" x14ac:dyDescent="0.3">
      <c r="A263" t="s">
        <v>320</v>
      </c>
      <c r="B263" s="2">
        <v>45942</v>
      </c>
      <c r="C263" t="s">
        <v>38</v>
      </c>
      <c r="D263" t="s">
        <v>39</v>
      </c>
      <c r="E263" t="s">
        <v>46</v>
      </c>
      <c r="F263" t="s">
        <v>16</v>
      </c>
      <c r="G263" t="s">
        <v>92</v>
      </c>
      <c r="H263">
        <v>16</v>
      </c>
      <c r="I263">
        <v>1200</v>
      </c>
      <c r="J263">
        <f t="shared" si="8"/>
        <v>19200</v>
      </c>
      <c r="K263">
        <f>J263*0.79</f>
        <v>15168</v>
      </c>
      <c r="L263">
        <f t="shared" si="9"/>
        <v>4032</v>
      </c>
    </row>
    <row r="264" spans="1:12" x14ac:dyDescent="0.3">
      <c r="A264" t="s">
        <v>321</v>
      </c>
      <c r="B264" s="2">
        <v>45702</v>
      </c>
      <c r="C264" t="s">
        <v>50</v>
      </c>
      <c r="D264" t="s">
        <v>25</v>
      </c>
      <c r="E264" t="s">
        <v>15</v>
      </c>
      <c r="F264" t="s">
        <v>26</v>
      </c>
      <c r="G264" t="s">
        <v>69</v>
      </c>
      <c r="H264">
        <v>18</v>
      </c>
      <c r="I264">
        <v>2500</v>
      </c>
      <c r="J264">
        <f t="shared" si="8"/>
        <v>45000</v>
      </c>
      <c r="K264">
        <f>J264*0.81</f>
        <v>36450</v>
      </c>
      <c r="L264">
        <f t="shared" si="9"/>
        <v>8550</v>
      </c>
    </row>
    <row r="265" spans="1:12" x14ac:dyDescent="0.3">
      <c r="A265" t="s">
        <v>322</v>
      </c>
      <c r="B265" s="2">
        <v>45752</v>
      </c>
      <c r="C265" t="s">
        <v>59</v>
      </c>
      <c r="D265" t="s">
        <v>19</v>
      </c>
      <c r="E265" t="s">
        <v>15</v>
      </c>
      <c r="F265" t="s">
        <v>26</v>
      </c>
      <c r="G265" t="s">
        <v>27</v>
      </c>
      <c r="H265">
        <v>12</v>
      </c>
      <c r="I265">
        <v>45000</v>
      </c>
      <c r="J265">
        <f t="shared" si="8"/>
        <v>540000</v>
      </c>
      <c r="K265">
        <f>J265*0.84</f>
        <v>453600</v>
      </c>
      <c r="L265">
        <f t="shared" si="9"/>
        <v>86400</v>
      </c>
    </row>
    <row r="266" spans="1:12" x14ac:dyDescent="0.3">
      <c r="A266" t="s">
        <v>323</v>
      </c>
      <c r="B266" s="2">
        <v>45920</v>
      </c>
      <c r="C266" t="s">
        <v>13</v>
      </c>
      <c r="D266" t="s">
        <v>51</v>
      </c>
      <c r="E266" t="s">
        <v>15</v>
      </c>
      <c r="F266" t="s">
        <v>21</v>
      </c>
      <c r="G266" t="s">
        <v>22</v>
      </c>
      <c r="H266">
        <v>1</v>
      </c>
      <c r="I266">
        <v>15000</v>
      </c>
      <c r="J266">
        <f t="shared" si="8"/>
        <v>15000</v>
      </c>
      <c r="K266">
        <f>J266*0.74</f>
        <v>11100</v>
      </c>
      <c r="L266">
        <f t="shared" si="9"/>
        <v>3900</v>
      </c>
    </row>
    <row r="267" spans="1:12" x14ac:dyDescent="0.3">
      <c r="A267" t="s">
        <v>324</v>
      </c>
      <c r="B267" s="2">
        <v>45820</v>
      </c>
      <c r="C267" t="s">
        <v>43</v>
      </c>
      <c r="D267" t="s">
        <v>33</v>
      </c>
      <c r="E267" t="s">
        <v>15</v>
      </c>
      <c r="F267" t="s">
        <v>21</v>
      </c>
      <c r="G267" t="s">
        <v>40</v>
      </c>
      <c r="H267">
        <v>14</v>
      </c>
      <c r="I267">
        <v>5000</v>
      </c>
      <c r="J267">
        <f t="shared" si="8"/>
        <v>70000</v>
      </c>
      <c r="K267">
        <f>J267*0.74</f>
        <v>51800</v>
      </c>
      <c r="L267">
        <f t="shared" si="9"/>
        <v>18200</v>
      </c>
    </row>
    <row r="268" spans="1:12" x14ac:dyDescent="0.3">
      <c r="A268" t="s">
        <v>325</v>
      </c>
      <c r="B268" s="2">
        <v>45897</v>
      </c>
      <c r="C268" t="s">
        <v>57</v>
      </c>
      <c r="D268" t="s">
        <v>72</v>
      </c>
      <c r="E268" t="s">
        <v>35</v>
      </c>
      <c r="F268" t="s">
        <v>16</v>
      </c>
      <c r="G268" t="s">
        <v>36</v>
      </c>
      <c r="H268">
        <v>9</v>
      </c>
      <c r="I268">
        <v>150</v>
      </c>
      <c r="J268">
        <f t="shared" si="8"/>
        <v>1350</v>
      </c>
      <c r="K268">
        <f>J268*0.7</f>
        <v>944.99999999999989</v>
      </c>
      <c r="L268">
        <f t="shared" si="9"/>
        <v>405.00000000000011</v>
      </c>
    </row>
    <row r="269" spans="1:12" x14ac:dyDescent="0.3">
      <c r="A269" t="s">
        <v>326</v>
      </c>
      <c r="B269" s="2">
        <v>45908</v>
      </c>
      <c r="C269" t="s">
        <v>13</v>
      </c>
      <c r="D269" t="s">
        <v>39</v>
      </c>
      <c r="E269" t="s">
        <v>35</v>
      </c>
      <c r="F269" t="s">
        <v>21</v>
      </c>
      <c r="G269" t="s">
        <v>54</v>
      </c>
      <c r="H269">
        <v>10</v>
      </c>
      <c r="I269">
        <v>18000</v>
      </c>
      <c r="J269">
        <f t="shared" si="8"/>
        <v>180000</v>
      </c>
      <c r="K269">
        <f>J269*0.8</f>
        <v>144000</v>
      </c>
      <c r="L269">
        <f t="shared" si="9"/>
        <v>36000</v>
      </c>
    </row>
    <row r="270" spans="1:12" x14ac:dyDescent="0.3">
      <c r="A270" t="s">
        <v>327</v>
      </c>
      <c r="B270" s="2">
        <v>45709</v>
      </c>
      <c r="C270" t="s">
        <v>50</v>
      </c>
      <c r="D270" t="s">
        <v>51</v>
      </c>
      <c r="E270" t="s">
        <v>15</v>
      </c>
      <c r="F270" t="s">
        <v>16</v>
      </c>
      <c r="G270" t="s">
        <v>36</v>
      </c>
      <c r="H270">
        <v>4</v>
      </c>
      <c r="I270">
        <v>150</v>
      </c>
      <c r="J270">
        <f t="shared" si="8"/>
        <v>600</v>
      </c>
      <c r="K270">
        <f>J270*0.74</f>
        <v>444</v>
      </c>
      <c r="L270">
        <f t="shared" si="9"/>
        <v>156</v>
      </c>
    </row>
    <row r="271" spans="1:12" x14ac:dyDescent="0.3">
      <c r="A271" t="s">
        <v>328</v>
      </c>
      <c r="B271" s="2">
        <v>45694</v>
      </c>
      <c r="C271" t="s">
        <v>50</v>
      </c>
      <c r="D271" t="s">
        <v>72</v>
      </c>
      <c r="E271" t="s">
        <v>20</v>
      </c>
      <c r="F271" t="s">
        <v>16</v>
      </c>
      <c r="G271" t="s">
        <v>78</v>
      </c>
      <c r="H271">
        <v>4</v>
      </c>
      <c r="I271">
        <v>800</v>
      </c>
      <c r="J271">
        <f t="shared" si="8"/>
        <v>3200</v>
      </c>
      <c r="K271">
        <f>J271*0.77</f>
        <v>2464</v>
      </c>
      <c r="L271">
        <f t="shared" si="9"/>
        <v>736</v>
      </c>
    </row>
    <row r="272" spans="1:12" x14ac:dyDescent="0.3">
      <c r="A272" t="s">
        <v>329</v>
      </c>
      <c r="B272" s="2">
        <v>45667</v>
      </c>
      <c r="C272" t="s">
        <v>29</v>
      </c>
      <c r="D272" t="s">
        <v>33</v>
      </c>
      <c r="E272" t="s">
        <v>20</v>
      </c>
      <c r="F272" t="s">
        <v>16</v>
      </c>
      <c r="G272" t="s">
        <v>17</v>
      </c>
      <c r="H272">
        <v>15</v>
      </c>
      <c r="I272">
        <v>300</v>
      </c>
      <c r="J272">
        <f t="shared" si="8"/>
        <v>4500</v>
      </c>
      <c r="K272">
        <f>J272*0.75</f>
        <v>3375</v>
      </c>
      <c r="L272">
        <f t="shared" si="9"/>
        <v>1125</v>
      </c>
    </row>
    <row r="273" spans="1:12" x14ac:dyDescent="0.3">
      <c r="A273" t="s">
        <v>330</v>
      </c>
      <c r="B273" s="2">
        <v>45823</v>
      </c>
      <c r="C273" t="s">
        <v>43</v>
      </c>
      <c r="D273" t="s">
        <v>14</v>
      </c>
      <c r="E273" t="s">
        <v>15</v>
      </c>
      <c r="F273" t="s">
        <v>26</v>
      </c>
      <c r="G273" t="s">
        <v>52</v>
      </c>
      <c r="H273">
        <v>11</v>
      </c>
      <c r="I273">
        <v>35000</v>
      </c>
      <c r="J273">
        <f t="shared" si="8"/>
        <v>385000</v>
      </c>
      <c r="K273">
        <f>J273*0.7</f>
        <v>269500</v>
      </c>
      <c r="L273">
        <f t="shared" si="9"/>
        <v>115500</v>
      </c>
    </row>
    <row r="274" spans="1:12" x14ac:dyDescent="0.3">
      <c r="A274" t="s">
        <v>331</v>
      </c>
      <c r="B274" s="2">
        <v>45716</v>
      </c>
      <c r="C274" t="s">
        <v>50</v>
      </c>
      <c r="D274" t="s">
        <v>86</v>
      </c>
      <c r="E274" t="s">
        <v>46</v>
      </c>
      <c r="F274" t="s">
        <v>26</v>
      </c>
      <c r="G274" t="s">
        <v>52</v>
      </c>
      <c r="H274">
        <v>14</v>
      </c>
      <c r="I274">
        <v>35000</v>
      </c>
      <c r="J274">
        <f t="shared" si="8"/>
        <v>490000</v>
      </c>
      <c r="K274">
        <f>J274*0.82</f>
        <v>401800</v>
      </c>
      <c r="L274">
        <f t="shared" si="9"/>
        <v>88200</v>
      </c>
    </row>
    <row r="275" spans="1:12" x14ac:dyDescent="0.3">
      <c r="A275" t="s">
        <v>332</v>
      </c>
      <c r="B275" s="2">
        <v>45710</v>
      </c>
      <c r="C275" t="s">
        <v>50</v>
      </c>
      <c r="D275" t="s">
        <v>86</v>
      </c>
      <c r="E275" t="s">
        <v>35</v>
      </c>
      <c r="F275" t="s">
        <v>26</v>
      </c>
      <c r="G275" t="s">
        <v>69</v>
      </c>
      <c r="H275">
        <v>17</v>
      </c>
      <c r="I275">
        <v>2500</v>
      </c>
      <c r="J275">
        <f t="shared" si="8"/>
        <v>42500</v>
      </c>
      <c r="K275">
        <f>J275*0.82</f>
        <v>34850</v>
      </c>
      <c r="L275">
        <f t="shared" si="9"/>
        <v>7650</v>
      </c>
    </row>
    <row r="276" spans="1:12" x14ac:dyDescent="0.3">
      <c r="A276" t="s">
        <v>333</v>
      </c>
      <c r="B276" s="2">
        <v>45956</v>
      </c>
      <c r="C276" t="s">
        <v>38</v>
      </c>
      <c r="D276" t="s">
        <v>14</v>
      </c>
      <c r="E276" t="s">
        <v>30</v>
      </c>
      <c r="F276" t="s">
        <v>21</v>
      </c>
      <c r="G276" t="s">
        <v>54</v>
      </c>
      <c r="H276">
        <v>14</v>
      </c>
      <c r="I276">
        <v>18000</v>
      </c>
      <c r="J276">
        <f t="shared" si="8"/>
        <v>252000</v>
      </c>
      <c r="K276">
        <f>J276*0.72</f>
        <v>181440</v>
      </c>
      <c r="L276">
        <f t="shared" si="9"/>
        <v>70560</v>
      </c>
    </row>
    <row r="277" spans="1:12" x14ac:dyDescent="0.3">
      <c r="A277" t="s">
        <v>334</v>
      </c>
      <c r="B277" s="2">
        <v>45864</v>
      </c>
      <c r="C277" t="s">
        <v>76</v>
      </c>
      <c r="D277" t="s">
        <v>72</v>
      </c>
      <c r="E277" t="s">
        <v>15</v>
      </c>
      <c r="F277" t="s">
        <v>21</v>
      </c>
      <c r="G277" t="s">
        <v>65</v>
      </c>
      <c r="H277">
        <v>1</v>
      </c>
      <c r="I277">
        <v>22000</v>
      </c>
      <c r="J277">
        <f t="shared" si="8"/>
        <v>22000</v>
      </c>
      <c r="K277">
        <f>J277*0.74</f>
        <v>16280</v>
      </c>
      <c r="L277">
        <f t="shared" si="9"/>
        <v>5720</v>
      </c>
    </row>
    <row r="278" spans="1:12" x14ac:dyDescent="0.3">
      <c r="A278" t="s">
        <v>335</v>
      </c>
      <c r="B278" s="2">
        <v>45665</v>
      </c>
      <c r="C278" t="s">
        <v>29</v>
      </c>
      <c r="D278" t="s">
        <v>72</v>
      </c>
      <c r="E278" t="s">
        <v>20</v>
      </c>
      <c r="F278" t="s">
        <v>16</v>
      </c>
      <c r="G278" t="s">
        <v>17</v>
      </c>
      <c r="H278">
        <v>13</v>
      </c>
      <c r="I278">
        <v>300</v>
      </c>
      <c r="J278">
        <f t="shared" si="8"/>
        <v>3900</v>
      </c>
      <c r="K278">
        <f>J278*0.78</f>
        <v>3042</v>
      </c>
      <c r="L278">
        <f t="shared" si="9"/>
        <v>858</v>
      </c>
    </row>
    <row r="279" spans="1:12" x14ac:dyDescent="0.3">
      <c r="A279" t="s">
        <v>336</v>
      </c>
      <c r="B279" s="2">
        <v>45833</v>
      </c>
      <c r="C279" t="s">
        <v>43</v>
      </c>
      <c r="D279" t="s">
        <v>33</v>
      </c>
      <c r="E279" t="s">
        <v>20</v>
      </c>
      <c r="F279" t="s">
        <v>16</v>
      </c>
      <c r="G279" t="s">
        <v>36</v>
      </c>
      <c r="H279">
        <v>19</v>
      </c>
      <c r="I279">
        <v>150</v>
      </c>
      <c r="J279">
        <f t="shared" si="8"/>
        <v>2850</v>
      </c>
      <c r="K279">
        <f>J279*0.82</f>
        <v>2337</v>
      </c>
      <c r="L279">
        <f t="shared" si="9"/>
        <v>513</v>
      </c>
    </row>
    <row r="280" spans="1:12" x14ac:dyDescent="0.3">
      <c r="A280" t="s">
        <v>337</v>
      </c>
      <c r="B280" s="2">
        <v>45889</v>
      </c>
      <c r="C280" t="s">
        <v>57</v>
      </c>
      <c r="D280" t="s">
        <v>72</v>
      </c>
      <c r="E280" t="s">
        <v>15</v>
      </c>
      <c r="F280" t="s">
        <v>21</v>
      </c>
      <c r="G280" t="s">
        <v>22</v>
      </c>
      <c r="H280">
        <v>7</v>
      </c>
      <c r="I280">
        <v>15000</v>
      </c>
      <c r="J280">
        <f t="shared" si="8"/>
        <v>105000</v>
      </c>
      <c r="K280">
        <f>J280*0.84</f>
        <v>88200</v>
      </c>
      <c r="L280">
        <f t="shared" si="9"/>
        <v>16800</v>
      </c>
    </row>
    <row r="281" spans="1:12" x14ac:dyDescent="0.3">
      <c r="A281" t="s">
        <v>338</v>
      </c>
      <c r="B281" s="2">
        <v>45822</v>
      </c>
      <c r="C281" t="s">
        <v>43</v>
      </c>
      <c r="D281" t="s">
        <v>51</v>
      </c>
      <c r="E281" t="s">
        <v>20</v>
      </c>
      <c r="F281" t="s">
        <v>26</v>
      </c>
      <c r="G281" t="s">
        <v>52</v>
      </c>
      <c r="H281">
        <v>9</v>
      </c>
      <c r="I281">
        <v>35000</v>
      </c>
      <c r="J281">
        <f t="shared" si="8"/>
        <v>315000</v>
      </c>
      <c r="K281">
        <f>J281*0.74</f>
        <v>233100</v>
      </c>
      <c r="L281">
        <f t="shared" si="9"/>
        <v>81900</v>
      </c>
    </row>
    <row r="282" spans="1:12" x14ac:dyDescent="0.3">
      <c r="A282" t="s">
        <v>339</v>
      </c>
      <c r="B282" s="2">
        <v>45941</v>
      </c>
      <c r="C282" t="s">
        <v>38</v>
      </c>
      <c r="D282" t="s">
        <v>64</v>
      </c>
      <c r="E282" t="s">
        <v>35</v>
      </c>
      <c r="F282" t="s">
        <v>26</v>
      </c>
      <c r="G282" t="s">
        <v>94</v>
      </c>
      <c r="H282">
        <v>12</v>
      </c>
      <c r="I282">
        <v>28000</v>
      </c>
      <c r="J282">
        <f t="shared" si="8"/>
        <v>336000</v>
      </c>
      <c r="K282">
        <f>J282*0.73</f>
        <v>245280</v>
      </c>
      <c r="L282">
        <f t="shared" si="9"/>
        <v>90720</v>
      </c>
    </row>
    <row r="283" spans="1:12" x14ac:dyDescent="0.3">
      <c r="A283" t="s">
        <v>340</v>
      </c>
      <c r="B283" s="2">
        <v>45855</v>
      </c>
      <c r="C283" t="s">
        <v>76</v>
      </c>
      <c r="D283" t="s">
        <v>25</v>
      </c>
      <c r="E283" t="s">
        <v>46</v>
      </c>
      <c r="F283" t="s">
        <v>21</v>
      </c>
      <c r="G283" t="s">
        <v>22</v>
      </c>
      <c r="H283">
        <v>14</v>
      </c>
      <c r="I283">
        <v>15000</v>
      </c>
      <c r="J283">
        <f t="shared" si="8"/>
        <v>210000</v>
      </c>
      <c r="K283">
        <f>J283*0.72</f>
        <v>151200</v>
      </c>
      <c r="L283">
        <f t="shared" si="9"/>
        <v>58800</v>
      </c>
    </row>
    <row r="284" spans="1:12" x14ac:dyDescent="0.3">
      <c r="A284" t="s">
        <v>341</v>
      </c>
      <c r="B284" s="2">
        <v>46010</v>
      </c>
      <c r="C284" t="s">
        <v>24</v>
      </c>
      <c r="D284" t="s">
        <v>83</v>
      </c>
      <c r="E284" t="s">
        <v>46</v>
      </c>
      <c r="F284" t="s">
        <v>21</v>
      </c>
      <c r="G284" t="s">
        <v>54</v>
      </c>
      <c r="H284">
        <v>11</v>
      </c>
      <c r="I284">
        <v>18000</v>
      </c>
      <c r="J284">
        <f t="shared" si="8"/>
        <v>198000</v>
      </c>
      <c r="K284">
        <f>J284*0.83</f>
        <v>164340</v>
      </c>
      <c r="L284">
        <f t="shared" si="9"/>
        <v>33660</v>
      </c>
    </row>
    <row r="285" spans="1:12" x14ac:dyDescent="0.3">
      <c r="A285" t="s">
        <v>342</v>
      </c>
      <c r="B285" s="2">
        <v>45664</v>
      </c>
      <c r="C285" t="s">
        <v>29</v>
      </c>
      <c r="D285" t="s">
        <v>39</v>
      </c>
      <c r="E285" t="s">
        <v>15</v>
      </c>
      <c r="F285" t="s">
        <v>16</v>
      </c>
      <c r="G285" t="s">
        <v>92</v>
      </c>
      <c r="H285">
        <v>10</v>
      </c>
      <c r="I285">
        <v>1200</v>
      </c>
      <c r="J285">
        <f t="shared" si="8"/>
        <v>12000</v>
      </c>
      <c r="K285">
        <f>J285*0.81</f>
        <v>9720</v>
      </c>
      <c r="L285">
        <f t="shared" si="9"/>
        <v>2280</v>
      </c>
    </row>
    <row r="286" spans="1:12" x14ac:dyDescent="0.3">
      <c r="A286" t="s">
        <v>343</v>
      </c>
      <c r="B286" s="2">
        <v>45701</v>
      </c>
      <c r="C286" t="s">
        <v>50</v>
      </c>
      <c r="D286" t="s">
        <v>51</v>
      </c>
      <c r="E286" t="s">
        <v>46</v>
      </c>
      <c r="F286" t="s">
        <v>16</v>
      </c>
      <c r="G286" t="s">
        <v>60</v>
      </c>
      <c r="H286">
        <v>10</v>
      </c>
      <c r="I286">
        <v>250</v>
      </c>
      <c r="J286">
        <f t="shared" si="8"/>
        <v>2500</v>
      </c>
      <c r="K286">
        <f>J286*0.82</f>
        <v>2050</v>
      </c>
      <c r="L286">
        <f t="shared" si="9"/>
        <v>450</v>
      </c>
    </row>
    <row r="287" spans="1:12" x14ac:dyDescent="0.3">
      <c r="A287" t="s">
        <v>344</v>
      </c>
      <c r="B287" s="2">
        <v>45975</v>
      </c>
      <c r="C287" t="s">
        <v>32</v>
      </c>
      <c r="D287" t="s">
        <v>39</v>
      </c>
      <c r="E287" t="s">
        <v>35</v>
      </c>
      <c r="F287" t="s">
        <v>16</v>
      </c>
      <c r="G287" t="s">
        <v>17</v>
      </c>
      <c r="H287">
        <v>4</v>
      </c>
      <c r="I287">
        <v>300</v>
      </c>
      <c r="J287">
        <f t="shared" si="8"/>
        <v>1200</v>
      </c>
      <c r="K287">
        <f>J287*0.81</f>
        <v>972.00000000000011</v>
      </c>
      <c r="L287">
        <f t="shared" si="9"/>
        <v>227.99999999999989</v>
      </c>
    </row>
    <row r="288" spans="1:12" x14ac:dyDescent="0.3">
      <c r="A288" t="s">
        <v>345</v>
      </c>
      <c r="B288" s="2">
        <v>45875</v>
      </c>
      <c r="C288" t="s">
        <v>57</v>
      </c>
      <c r="D288" t="s">
        <v>64</v>
      </c>
      <c r="E288" t="s">
        <v>15</v>
      </c>
      <c r="F288" t="s">
        <v>16</v>
      </c>
      <c r="G288" t="s">
        <v>78</v>
      </c>
      <c r="H288">
        <v>15</v>
      </c>
      <c r="I288">
        <v>800</v>
      </c>
      <c r="J288">
        <f t="shared" si="8"/>
        <v>12000</v>
      </c>
      <c r="K288">
        <f>J288*0.73</f>
        <v>8760</v>
      </c>
      <c r="L288">
        <f t="shared" si="9"/>
        <v>3240</v>
      </c>
    </row>
    <row r="289" spans="1:12" x14ac:dyDescent="0.3">
      <c r="A289" t="s">
        <v>346</v>
      </c>
      <c r="B289" s="2">
        <v>45994</v>
      </c>
      <c r="C289" t="s">
        <v>24</v>
      </c>
      <c r="D289" t="s">
        <v>72</v>
      </c>
      <c r="E289" t="s">
        <v>35</v>
      </c>
      <c r="F289" t="s">
        <v>26</v>
      </c>
      <c r="G289" t="s">
        <v>127</v>
      </c>
      <c r="H289">
        <v>3</v>
      </c>
      <c r="I289">
        <v>1500</v>
      </c>
      <c r="J289">
        <f t="shared" si="8"/>
        <v>4500</v>
      </c>
      <c r="K289">
        <f>J289*0.82</f>
        <v>3690</v>
      </c>
      <c r="L289">
        <f t="shared" si="9"/>
        <v>810</v>
      </c>
    </row>
    <row r="290" spans="1:12" x14ac:dyDescent="0.3">
      <c r="A290" t="s">
        <v>347</v>
      </c>
      <c r="B290" s="2">
        <v>45986</v>
      </c>
      <c r="C290" t="s">
        <v>32</v>
      </c>
      <c r="D290" t="s">
        <v>19</v>
      </c>
      <c r="E290" t="s">
        <v>46</v>
      </c>
      <c r="F290" t="s">
        <v>21</v>
      </c>
      <c r="G290" t="s">
        <v>54</v>
      </c>
      <c r="H290">
        <v>5</v>
      </c>
      <c r="I290">
        <v>18000</v>
      </c>
      <c r="J290">
        <f t="shared" si="8"/>
        <v>90000</v>
      </c>
      <c r="K290">
        <f>J290*0.74</f>
        <v>66600</v>
      </c>
      <c r="L290">
        <f t="shared" si="9"/>
        <v>23400</v>
      </c>
    </row>
    <row r="291" spans="1:12" x14ac:dyDescent="0.3">
      <c r="A291" t="s">
        <v>348</v>
      </c>
      <c r="B291" s="2">
        <v>45757</v>
      </c>
      <c r="C291" t="s">
        <v>59</v>
      </c>
      <c r="D291" t="s">
        <v>25</v>
      </c>
      <c r="E291" t="s">
        <v>35</v>
      </c>
      <c r="F291" t="s">
        <v>26</v>
      </c>
      <c r="G291" t="s">
        <v>127</v>
      </c>
      <c r="H291">
        <v>15</v>
      </c>
      <c r="I291">
        <v>1500</v>
      </c>
      <c r="J291">
        <f t="shared" si="8"/>
        <v>22500</v>
      </c>
      <c r="K291">
        <f>J291*0.72</f>
        <v>16200</v>
      </c>
      <c r="L291">
        <f t="shared" si="9"/>
        <v>6300</v>
      </c>
    </row>
    <row r="292" spans="1:12" x14ac:dyDescent="0.3">
      <c r="A292" t="s">
        <v>349</v>
      </c>
      <c r="B292" s="2">
        <v>45696</v>
      </c>
      <c r="C292" t="s">
        <v>50</v>
      </c>
      <c r="D292" t="s">
        <v>51</v>
      </c>
      <c r="E292" t="s">
        <v>15</v>
      </c>
      <c r="F292" t="s">
        <v>26</v>
      </c>
      <c r="G292" t="s">
        <v>44</v>
      </c>
      <c r="H292">
        <v>2</v>
      </c>
      <c r="I292">
        <v>25000</v>
      </c>
      <c r="J292">
        <f t="shared" si="8"/>
        <v>50000</v>
      </c>
      <c r="K292">
        <f>J292*0.76</f>
        <v>38000</v>
      </c>
      <c r="L292">
        <f t="shared" si="9"/>
        <v>12000</v>
      </c>
    </row>
    <row r="293" spans="1:12" x14ac:dyDescent="0.3">
      <c r="A293" t="s">
        <v>350</v>
      </c>
      <c r="B293" s="2">
        <v>45710</v>
      </c>
      <c r="C293" t="s">
        <v>50</v>
      </c>
      <c r="D293" t="s">
        <v>83</v>
      </c>
      <c r="E293" t="s">
        <v>46</v>
      </c>
      <c r="F293" t="s">
        <v>26</v>
      </c>
      <c r="G293" t="s">
        <v>44</v>
      </c>
      <c r="H293">
        <v>3</v>
      </c>
      <c r="I293">
        <v>25000</v>
      </c>
      <c r="J293">
        <f t="shared" si="8"/>
        <v>75000</v>
      </c>
      <c r="K293">
        <f>J293*0.83</f>
        <v>62250</v>
      </c>
      <c r="L293">
        <f t="shared" si="9"/>
        <v>12750</v>
      </c>
    </row>
    <row r="294" spans="1:12" x14ac:dyDescent="0.3">
      <c r="A294" t="s">
        <v>351</v>
      </c>
      <c r="B294" s="2">
        <v>45943</v>
      </c>
      <c r="C294" t="s">
        <v>38</v>
      </c>
      <c r="D294" t="s">
        <v>64</v>
      </c>
      <c r="E294" t="s">
        <v>15</v>
      </c>
      <c r="F294" t="s">
        <v>26</v>
      </c>
      <c r="G294" t="s">
        <v>111</v>
      </c>
      <c r="H294">
        <v>4</v>
      </c>
      <c r="I294">
        <v>85000</v>
      </c>
      <c r="J294">
        <f t="shared" si="8"/>
        <v>340000</v>
      </c>
      <c r="K294">
        <f>J294*0.7</f>
        <v>237999.99999999997</v>
      </c>
      <c r="L294">
        <f t="shared" si="9"/>
        <v>102000.00000000003</v>
      </c>
    </row>
    <row r="295" spans="1:12" x14ac:dyDescent="0.3">
      <c r="A295" t="s">
        <v>352</v>
      </c>
      <c r="B295" s="2">
        <v>45787</v>
      </c>
      <c r="C295" t="s">
        <v>48</v>
      </c>
      <c r="D295" t="s">
        <v>33</v>
      </c>
      <c r="E295" t="s">
        <v>35</v>
      </c>
      <c r="F295" t="s">
        <v>26</v>
      </c>
      <c r="G295" t="s">
        <v>69</v>
      </c>
      <c r="H295">
        <v>4</v>
      </c>
      <c r="I295">
        <v>2500</v>
      </c>
      <c r="J295">
        <f t="shared" si="8"/>
        <v>10000</v>
      </c>
      <c r="K295">
        <f>J295*0.74</f>
        <v>7400</v>
      </c>
      <c r="L295">
        <f t="shared" si="9"/>
        <v>2600</v>
      </c>
    </row>
    <row r="296" spans="1:12" x14ac:dyDescent="0.3">
      <c r="A296" t="s">
        <v>353</v>
      </c>
      <c r="B296" s="2">
        <v>45897</v>
      </c>
      <c r="C296" t="s">
        <v>57</v>
      </c>
      <c r="D296" t="s">
        <v>72</v>
      </c>
      <c r="E296" t="s">
        <v>35</v>
      </c>
      <c r="F296" t="s">
        <v>16</v>
      </c>
      <c r="G296" t="s">
        <v>17</v>
      </c>
      <c r="H296">
        <v>8</v>
      </c>
      <c r="I296">
        <v>300</v>
      </c>
      <c r="J296">
        <f t="shared" si="8"/>
        <v>2400</v>
      </c>
      <c r="K296">
        <f>J296*0.81</f>
        <v>1944.0000000000002</v>
      </c>
      <c r="L296">
        <f t="shared" si="9"/>
        <v>455.99999999999977</v>
      </c>
    </row>
    <row r="297" spans="1:12" x14ac:dyDescent="0.3">
      <c r="A297" t="s">
        <v>354</v>
      </c>
      <c r="B297" s="2">
        <v>45898</v>
      </c>
      <c r="C297" t="s">
        <v>57</v>
      </c>
      <c r="D297" t="s">
        <v>25</v>
      </c>
      <c r="E297" t="s">
        <v>15</v>
      </c>
      <c r="F297" t="s">
        <v>21</v>
      </c>
      <c r="G297" t="s">
        <v>40</v>
      </c>
      <c r="H297">
        <v>9</v>
      </c>
      <c r="I297">
        <v>5000</v>
      </c>
      <c r="J297">
        <f t="shared" si="8"/>
        <v>45000</v>
      </c>
      <c r="K297">
        <f>J297*0.78</f>
        <v>35100</v>
      </c>
      <c r="L297">
        <f t="shared" si="9"/>
        <v>9900</v>
      </c>
    </row>
    <row r="298" spans="1:12" x14ac:dyDescent="0.3">
      <c r="A298" t="s">
        <v>355</v>
      </c>
      <c r="B298" s="2">
        <v>45799</v>
      </c>
      <c r="C298" t="s">
        <v>48</v>
      </c>
      <c r="D298" t="s">
        <v>25</v>
      </c>
      <c r="E298" t="s">
        <v>15</v>
      </c>
      <c r="F298" t="s">
        <v>16</v>
      </c>
      <c r="G298" t="s">
        <v>78</v>
      </c>
      <c r="H298">
        <v>20</v>
      </c>
      <c r="I298">
        <v>800</v>
      </c>
      <c r="J298">
        <f t="shared" si="8"/>
        <v>16000</v>
      </c>
      <c r="K298">
        <f>J298*0.74</f>
        <v>11840</v>
      </c>
      <c r="L298">
        <f t="shared" si="9"/>
        <v>4160</v>
      </c>
    </row>
    <row r="299" spans="1:12" x14ac:dyDescent="0.3">
      <c r="A299" t="s">
        <v>356</v>
      </c>
      <c r="B299" s="2">
        <v>45917</v>
      </c>
      <c r="C299" t="s">
        <v>13</v>
      </c>
      <c r="D299" t="s">
        <v>83</v>
      </c>
      <c r="E299" t="s">
        <v>15</v>
      </c>
      <c r="F299" t="s">
        <v>21</v>
      </c>
      <c r="G299" t="s">
        <v>74</v>
      </c>
      <c r="H299">
        <v>10</v>
      </c>
      <c r="I299">
        <v>12000</v>
      </c>
      <c r="J299">
        <f t="shared" si="8"/>
        <v>120000</v>
      </c>
      <c r="K299">
        <f>J299*0.82</f>
        <v>98400</v>
      </c>
      <c r="L299">
        <f t="shared" si="9"/>
        <v>21600</v>
      </c>
    </row>
    <row r="300" spans="1:12" x14ac:dyDescent="0.3">
      <c r="A300" t="s">
        <v>357</v>
      </c>
      <c r="B300" s="2">
        <v>45705</v>
      </c>
      <c r="C300" t="s">
        <v>50</v>
      </c>
      <c r="D300" t="s">
        <v>25</v>
      </c>
      <c r="E300" t="s">
        <v>20</v>
      </c>
      <c r="F300" t="s">
        <v>21</v>
      </c>
      <c r="G300" t="s">
        <v>65</v>
      </c>
      <c r="H300">
        <v>17</v>
      </c>
      <c r="I300">
        <v>22000</v>
      </c>
      <c r="J300">
        <f t="shared" si="8"/>
        <v>374000</v>
      </c>
      <c r="K300">
        <f>J300*0.85</f>
        <v>317900</v>
      </c>
      <c r="L300">
        <f t="shared" si="9"/>
        <v>56100</v>
      </c>
    </row>
    <row r="301" spans="1:12" x14ac:dyDescent="0.3">
      <c r="A301" t="s">
        <v>358</v>
      </c>
      <c r="B301" s="2">
        <v>45912</v>
      </c>
      <c r="C301" t="s">
        <v>13</v>
      </c>
      <c r="D301" t="s">
        <v>33</v>
      </c>
      <c r="E301" t="s">
        <v>46</v>
      </c>
      <c r="F301" t="s">
        <v>16</v>
      </c>
      <c r="G301" t="s">
        <v>17</v>
      </c>
      <c r="H301">
        <v>5</v>
      </c>
      <c r="I301">
        <v>300</v>
      </c>
      <c r="J301">
        <f t="shared" si="8"/>
        <v>1500</v>
      </c>
      <c r="K301">
        <f>J301*0.81</f>
        <v>1215</v>
      </c>
      <c r="L301">
        <f t="shared" si="9"/>
        <v>285</v>
      </c>
    </row>
    <row r="302" spans="1:12" x14ac:dyDescent="0.3">
      <c r="A302" t="s">
        <v>359</v>
      </c>
      <c r="B302" s="2">
        <v>45884</v>
      </c>
      <c r="C302" t="s">
        <v>57</v>
      </c>
      <c r="D302" t="s">
        <v>51</v>
      </c>
      <c r="E302" t="s">
        <v>15</v>
      </c>
      <c r="F302" t="s">
        <v>26</v>
      </c>
      <c r="G302" t="s">
        <v>69</v>
      </c>
      <c r="H302">
        <v>20</v>
      </c>
      <c r="I302">
        <v>2500</v>
      </c>
      <c r="J302">
        <f t="shared" si="8"/>
        <v>50000</v>
      </c>
      <c r="K302">
        <f>J302*0.83</f>
        <v>41500</v>
      </c>
      <c r="L302">
        <f t="shared" si="9"/>
        <v>8500</v>
      </c>
    </row>
    <row r="303" spans="1:12" x14ac:dyDescent="0.3">
      <c r="A303" t="s">
        <v>360</v>
      </c>
      <c r="B303" s="2">
        <v>45731</v>
      </c>
      <c r="C303" t="s">
        <v>63</v>
      </c>
      <c r="D303" t="s">
        <v>86</v>
      </c>
      <c r="E303" t="s">
        <v>15</v>
      </c>
      <c r="F303" t="s">
        <v>16</v>
      </c>
      <c r="G303" t="s">
        <v>36</v>
      </c>
      <c r="H303">
        <v>1</v>
      </c>
      <c r="I303">
        <v>150</v>
      </c>
      <c r="J303">
        <f t="shared" si="8"/>
        <v>150</v>
      </c>
      <c r="K303">
        <f>J303*0.8</f>
        <v>120</v>
      </c>
      <c r="L303">
        <f t="shared" si="9"/>
        <v>30</v>
      </c>
    </row>
    <row r="304" spans="1:12" x14ac:dyDescent="0.3">
      <c r="A304" t="s">
        <v>361</v>
      </c>
      <c r="B304" s="2">
        <v>45724</v>
      </c>
      <c r="C304" t="s">
        <v>63</v>
      </c>
      <c r="D304" t="s">
        <v>33</v>
      </c>
      <c r="E304" t="s">
        <v>30</v>
      </c>
      <c r="F304" t="s">
        <v>26</v>
      </c>
      <c r="G304" t="s">
        <v>27</v>
      </c>
      <c r="H304">
        <v>12</v>
      </c>
      <c r="I304">
        <v>45000</v>
      </c>
      <c r="J304">
        <f t="shared" si="8"/>
        <v>540000</v>
      </c>
      <c r="K304">
        <f>J304*0.75</f>
        <v>405000</v>
      </c>
      <c r="L304">
        <f t="shared" si="9"/>
        <v>135000</v>
      </c>
    </row>
    <row r="305" spans="1:12" x14ac:dyDescent="0.3">
      <c r="A305" t="s">
        <v>362</v>
      </c>
      <c r="B305" s="2">
        <v>45707</v>
      </c>
      <c r="C305" t="s">
        <v>50</v>
      </c>
      <c r="D305" t="s">
        <v>51</v>
      </c>
      <c r="E305" t="s">
        <v>46</v>
      </c>
      <c r="F305" t="s">
        <v>21</v>
      </c>
      <c r="G305" t="s">
        <v>74</v>
      </c>
      <c r="H305">
        <v>9</v>
      </c>
      <c r="I305">
        <v>12000</v>
      </c>
      <c r="J305">
        <f t="shared" si="8"/>
        <v>108000</v>
      </c>
      <c r="K305">
        <f>J305*0.72</f>
        <v>77760</v>
      </c>
      <c r="L305">
        <f t="shared" si="9"/>
        <v>30240</v>
      </c>
    </row>
    <row r="306" spans="1:12" x14ac:dyDescent="0.3">
      <c r="A306" t="s">
        <v>363</v>
      </c>
      <c r="B306" s="2">
        <v>45669</v>
      </c>
      <c r="C306" t="s">
        <v>29</v>
      </c>
      <c r="D306" t="s">
        <v>86</v>
      </c>
      <c r="E306" t="s">
        <v>15</v>
      </c>
      <c r="F306" t="s">
        <v>16</v>
      </c>
      <c r="G306" t="s">
        <v>92</v>
      </c>
      <c r="H306">
        <v>18</v>
      </c>
      <c r="I306">
        <v>1200</v>
      </c>
      <c r="J306">
        <f t="shared" si="8"/>
        <v>21600</v>
      </c>
      <c r="K306">
        <f>J306*0.8</f>
        <v>17280</v>
      </c>
      <c r="L306">
        <f t="shared" si="9"/>
        <v>4320</v>
      </c>
    </row>
    <row r="307" spans="1:12" x14ac:dyDescent="0.3">
      <c r="A307" t="s">
        <v>364</v>
      </c>
      <c r="B307" s="2">
        <v>45978</v>
      </c>
      <c r="C307" t="s">
        <v>32</v>
      </c>
      <c r="D307" t="s">
        <v>51</v>
      </c>
      <c r="E307" t="s">
        <v>20</v>
      </c>
      <c r="F307" t="s">
        <v>16</v>
      </c>
      <c r="G307" t="s">
        <v>78</v>
      </c>
      <c r="H307">
        <v>1</v>
      </c>
      <c r="I307">
        <v>800</v>
      </c>
      <c r="J307">
        <f t="shared" si="8"/>
        <v>800</v>
      </c>
      <c r="K307">
        <f>J307*0.83</f>
        <v>664</v>
      </c>
      <c r="L307">
        <f t="shared" si="9"/>
        <v>136</v>
      </c>
    </row>
    <row r="308" spans="1:12" x14ac:dyDescent="0.3">
      <c r="A308" t="s">
        <v>365</v>
      </c>
      <c r="B308" s="2">
        <v>45712</v>
      </c>
      <c r="C308" t="s">
        <v>50</v>
      </c>
      <c r="D308" t="s">
        <v>64</v>
      </c>
      <c r="E308" t="s">
        <v>35</v>
      </c>
      <c r="F308" t="s">
        <v>26</v>
      </c>
      <c r="G308" t="s">
        <v>27</v>
      </c>
      <c r="H308">
        <v>11</v>
      </c>
      <c r="I308">
        <v>45000</v>
      </c>
      <c r="J308">
        <f t="shared" si="8"/>
        <v>495000</v>
      </c>
      <c r="K308">
        <f>J308*0.75</f>
        <v>371250</v>
      </c>
      <c r="L308">
        <f t="shared" si="9"/>
        <v>123750</v>
      </c>
    </row>
    <row r="309" spans="1:12" x14ac:dyDescent="0.3">
      <c r="A309" t="s">
        <v>366</v>
      </c>
      <c r="B309" s="2">
        <v>45905</v>
      </c>
      <c r="C309" t="s">
        <v>13</v>
      </c>
      <c r="D309" t="s">
        <v>33</v>
      </c>
      <c r="E309" t="s">
        <v>35</v>
      </c>
      <c r="F309" t="s">
        <v>26</v>
      </c>
      <c r="G309" t="s">
        <v>69</v>
      </c>
      <c r="H309">
        <v>13</v>
      </c>
      <c r="I309">
        <v>2500</v>
      </c>
      <c r="J309">
        <f t="shared" si="8"/>
        <v>32500</v>
      </c>
      <c r="K309">
        <f>J309*0.75</f>
        <v>24375</v>
      </c>
      <c r="L309">
        <f t="shared" si="9"/>
        <v>8125</v>
      </c>
    </row>
    <row r="310" spans="1:12" x14ac:dyDescent="0.3">
      <c r="A310" t="s">
        <v>367</v>
      </c>
      <c r="B310" s="2">
        <v>45993</v>
      </c>
      <c r="C310" t="s">
        <v>24</v>
      </c>
      <c r="D310" t="s">
        <v>14</v>
      </c>
      <c r="E310" t="s">
        <v>30</v>
      </c>
      <c r="F310" t="s">
        <v>26</v>
      </c>
      <c r="G310" t="s">
        <v>94</v>
      </c>
      <c r="H310">
        <v>3</v>
      </c>
      <c r="I310">
        <v>28000</v>
      </c>
      <c r="J310">
        <f t="shared" si="8"/>
        <v>84000</v>
      </c>
      <c r="K310">
        <f>J310*0.76</f>
        <v>63840</v>
      </c>
      <c r="L310">
        <f t="shared" si="9"/>
        <v>20160</v>
      </c>
    </row>
    <row r="311" spans="1:12" x14ac:dyDescent="0.3">
      <c r="A311" t="s">
        <v>368</v>
      </c>
      <c r="B311" s="2">
        <v>45933</v>
      </c>
      <c r="C311" t="s">
        <v>38</v>
      </c>
      <c r="D311" t="s">
        <v>86</v>
      </c>
      <c r="E311" t="s">
        <v>46</v>
      </c>
      <c r="F311" t="s">
        <v>26</v>
      </c>
      <c r="G311" t="s">
        <v>27</v>
      </c>
      <c r="H311">
        <v>1</v>
      </c>
      <c r="I311">
        <v>45000</v>
      </c>
      <c r="J311">
        <f t="shared" si="8"/>
        <v>45000</v>
      </c>
      <c r="K311">
        <f>J311*0.81</f>
        <v>36450</v>
      </c>
      <c r="L311">
        <f t="shared" si="9"/>
        <v>8550</v>
      </c>
    </row>
    <row r="312" spans="1:12" x14ac:dyDescent="0.3">
      <c r="A312" t="s">
        <v>369</v>
      </c>
      <c r="B312" s="2">
        <v>45963</v>
      </c>
      <c r="C312" t="s">
        <v>32</v>
      </c>
      <c r="D312" t="s">
        <v>19</v>
      </c>
      <c r="E312" t="s">
        <v>35</v>
      </c>
      <c r="F312" t="s">
        <v>21</v>
      </c>
      <c r="G312" t="s">
        <v>54</v>
      </c>
      <c r="H312">
        <v>11</v>
      </c>
      <c r="I312">
        <v>18000</v>
      </c>
      <c r="J312">
        <f t="shared" si="8"/>
        <v>198000</v>
      </c>
      <c r="K312">
        <f>J312*0.71</f>
        <v>140580</v>
      </c>
      <c r="L312">
        <f t="shared" si="9"/>
        <v>57420</v>
      </c>
    </row>
    <row r="313" spans="1:12" x14ac:dyDescent="0.3">
      <c r="A313" t="s">
        <v>370</v>
      </c>
      <c r="B313" s="2">
        <v>45805</v>
      </c>
      <c r="C313" t="s">
        <v>48</v>
      </c>
      <c r="D313" t="s">
        <v>39</v>
      </c>
      <c r="E313" t="s">
        <v>20</v>
      </c>
      <c r="F313" t="s">
        <v>21</v>
      </c>
      <c r="G313" t="s">
        <v>40</v>
      </c>
      <c r="H313">
        <v>15</v>
      </c>
      <c r="I313">
        <v>5000</v>
      </c>
      <c r="J313">
        <f t="shared" si="8"/>
        <v>75000</v>
      </c>
      <c r="K313">
        <f>J313*0.76</f>
        <v>57000</v>
      </c>
      <c r="L313">
        <f t="shared" si="9"/>
        <v>18000</v>
      </c>
    </row>
    <row r="314" spans="1:12" x14ac:dyDescent="0.3">
      <c r="A314" t="s">
        <v>371</v>
      </c>
      <c r="B314" s="2">
        <v>45863</v>
      </c>
      <c r="C314" t="s">
        <v>76</v>
      </c>
      <c r="D314" t="s">
        <v>19</v>
      </c>
      <c r="E314" t="s">
        <v>20</v>
      </c>
      <c r="F314" t="s">
        <v>26</v>
      </c>
      <c r="G314" t="s">
        <v>111</v>
      </c>
      <c r="H314">
        <v>16</v>
      </c>
      <c r="I314">
        <v>85000</v>
      </c>
      <c r="J314">
        <f t="shared" si="8"/>
        <v>1360000</v>
      </c>
      <c r="K314">
        <f>J314*0.78</f>
        <v>1060800</v>
      </c>
      <c r="L314">
        <f t="shared" si="9"/>
        <v>299200</v>
      </c>
    </row>
    <row r="315" spans="1:12" x14ac:dyDescent="0.3">
      <c r="A315" t="s">
        <v>372</v>
      </c>
      <c r="B315" s="2">
        <v>45851</v>
      </c>
      <c r="C315" t="s">
        <v>76</v>
      </c>
      <c r="D315" t="s">
        <v>72</v>
      </c>
      <c r="E315" t="s">
        <v>30</v>
      </c>
      <c r="F315" t="s">
        <v>26</v>
      </c>
      <c r="G315" t="s">
        <v>52</v>
      </c>
      <c r="H315">
        <v>3</v>
      </c>
      <c r="I315">
        <v>35000</v>
      </c>
      <c r="J315">
        <f t="shared" si="8"/>
        <v>105000</v>
      </c>
      <c r="K315">
        <f>J315*0.76</f>
        <v>79800</v>
      </c>
      <c r="L315">
        <f t="shared" si="9"/>
        <v>25200</v>
      </c>
    </row>
    <row r="316" spans="1:12" x14ac:dyDescent="0.3">
      <c r="A316" t="s">
        <v>373</v>
      </c>
      <c r="B316" s="2">
        <v>45744</v>
      </c>
      <c r="C316" t="s">
        <v>63</v>
      </c>
      <c r="D316" t="s">
        <v>64</v>
      </c>
      <c r="E316" t="s">
        <v>35</v>
      </c>
      <c r="F316" t="s">
        <v>26</v>
      </c>
      <c r="G316" t="s">
        <v>27</v>
      </c>
      <c r="H316">
        <v>9</v>
      </c>
      <c r="I316">
        <v>45000</v>
      </c>
      <c r="J316">
        <f t="shared" si="8"/>
        <v>405000</v>
      </c>
      <c r="K316">
        <f>J316*0.77</f>
        <v>311850</v>
      </c>
      <c r="L316">
        <f t="shared" si="9"/>
        <v>93150</v>
      </c>
    </row>
    <row r="317" spans="1:12" x14ac:dyDescent="0.3">
      <c r="A317" t="s">
        <v>374</v>
      </c>
      <c r="B317" s="2">
        <v>45849</v>
      </c>
      <c r="C317" t="s">
        <v>76</v>
      </c>
      <c r="D317" t="s">
        <v>64</v>
      </c>
      <c r="E317" t="s">
        <v>20</v>
      </c>
      <c r="F317" t="s">
        <v>21</v>
      </c>
      <c r="G317" t="s">
        <v>65</v>
      </c>
      <c r="H317">
        <v>10</v>
      </c>
      <c r="I317">
        <v>22000</v>
      </c>
      <c r="J317">
        <f t="shared" si="8"/>
        <v>220000</v>
      </c>
      <c r="K317">
        <f>J317*0.84</f>
        <v>184800</v>
      </c>
      <c r="L317">
        <f t="shared" si="9"/>
        <v>35200</v>
      </c>
    </row>
    <row r="318" spans="1:12" x14ac:dyDescent="0.3">
      <c r="A318" t="s">
        <v>375</v>
      </c>
      <c r="B318" s="2">
        <v>45710</v>
      </c>
      <c r="C318" t="s">
        <v>50</v>
      </c>
      <c r="D318" t="s">
        <v>39</v>
      </c>
      <c r="E318" t="s">
        <v>46</v>
      </c>
      <c r="F318" t="s">
        <v>26</v>
      </c>
      <c r="G318" t="s">
        <v>52</v>
      </c>
      <c r="H318">
        <v>1</v>
      </c>
      <c r="I318">
        <v>35000</v>
      </c>
      <c r="J318">
        <f t="shared" si="8"/>
        <v>35000</v>
      </c>
      <c r="K318">
        <f>J318*0.83</f>
        <v>29050</v>
      </c>
      <c r="L318">
        <f t="shared" si="9"/>
        <v>5950</v>
      </c>
    </row>
    <row r="319" spans="1:12" x14ac:dyDescent="0.3">
      <c r="A319" t="s">
        <v>376</v>
      </c>
      <c r="B319" s="2">
        <v>45927</v>
      </c>
      <c r="C319" t="s">
        <v>13</v>
      </c>
      <c r="D319" t="s">
        <v>19</v>
      </c>
      <c r="E319" t="s">
        <v>30</v>
      </c>
      <c r="F319" t="s">
        <v>21</v>
      </c>
      <c r="G319" t="s">
        <v>40</v>
      </c>
      <c r="H319">
        <v>1</v>
      </c>
      <c r="I319">
        <v>5000</v>
      </c>
      <c r="J319">
        <f t="shared" si="8"/>
        <v>5000</v>
      </c>
      <c r="K319">
        <f>J319*0.8</f>
        <v>4000</v>
      </c>
      <c r="L319">
        <f t="shared" si="9"/>
        <v>1000</v>
      </c>
    </row>
    <row r="320" spans="1:12" x14ac:dyDescent="0.3">
      <c r="A320" t="s">
        <v>377</v>
      </c>
      <c r="B320" s="2">
        <v>45909</v>
      </c>
      <c r="C320" t="s">
        <v>13</v>
      </c>
      <c r="D320" t="s">
        <v>19</v>
      </c>
      <c r="E320" t="s">
        <v>20</v>
      </c>
      <c r="F320" t="s">
        <v>26</v>
      </c>
      <c r="G320" t="s">
        <v>94</v>
      </c>
      <c r="H320">
        <v>19</v>
      </c>
      <c r="I320">
        <v>28000</v>
      </c>
      <c r="J320">
        <f t="shared" si="8"/>
        <v>532000</v>
      </c>
      <c r="K320">
        <f>J320*0.8</f>
        <v>425600</v>
      </c>
      <c r="L320">
        <f t="shared" si="9"/>
        <v>106400</v>
      </c>
    </row>
    <row r="321" spans="1:12" x14ac:dyDescent="0.3">
      <c r="A321" t="s">
        <v>378</v>
      </c>
      <c r="B321" s="2">
        <v>45663</v>
      </c>
      <c r="C321" t="s">
        <v>29</v>
      </c>
      <c r="D321" t="s">
        <v>39</v>
      </c>
      <c r="E321" t="s">
        <v>35</v>
      </c>
      <c r="F321" t="s">
        <v>21</v>
      </c>
      <c r="G321" t="s">
        <v>54</v>
      </c>
      <c r="H321">
        <v>16</v>
      </c>
      <c r="I321">
        <v>18000</v>
      </c>
      <c r="J321">
        <f t="shared" si="8"/>
        <v>288000</v>
      </c>
      <c r="K321">
        <f>J321*0.84</f>
        <v>241920</v>
      </c>
      <c r="L321">
        <f t="shared" si="9"/>
        <v>46080</v>
      </c>
    </row>
    <row r="322" spans="1:12" x14ac:dyDescent="0.3">
      <c r="A322" t="s">
        <v>379</v>
      </c>
      <c r="B322" s="2">
        <v>45876</v>
      </c>
      <c r="C322" t="s">
        <v>57</v>
      </c>
      <c r="D322" t="s">
        <v>72</v>
      </c>
      <c r="E322" t="s">
        <v>20</v>
      </c>
      <c r="F322" t="s">
        <v>21</v>
      </c>
      <c r="G322" t="s">
        <v>40</v>
      </c>
      <c r="H322">
        <v>7</v>
      </c>
      <c r="I322">
        <v>5000</v>
      </c>
      <c r="J322">
        <f t="shared" ref="J322:J385" si="10">H322*I322</f>
        <v>35000</v>
      </c>
      <c r="K322">
        <f>J322*0.74</f>
        <v>25900</v>
      </c>
      <c r="L322">
        <f t="shared" ref="L322:L385" si="11">J322-K322</f>
        <v>9100</v>
      </c>
    </row>
    <row r="323" spans="1:12" x14ac:dyDescent="0.3">
      <c r="A323" t="s">
        <v>380</v>
      </c>
      <c r="B323" s="2">
        <v>45846</v>
      </c>
      <c r="C323" t="s">
        <v>76</v>
      </c>
      <c r="D323" t="s">
        <v>25</v>
      </c>
      <c r="E323" t="s">
        <v>30</v>
      </c>
      <c r="F323" t="s">
        <v>26</v>
      </c>
      <c r="G323" t="s">
        <v>111</v>
      </c>
      <c r="H323">
        <v>12</v>
      </c>
      <c r="I323">
        <v>85000</v>
      </c>
      <c r="J323">
        <f t="shared" si="10"/>
        <v>1020000</v>
      </c>
      <c r="K323">
        <f>J323*0.81</f>
        <v>826200</v>
      </c>
      <c r="L323">
        <f t="shared" si="11"/>
        <v>193800</v>
      </c>
    </row>
    <row r="324" spans="1:12" x14ac:dyDescent="0.3">
      <c r="A324" t="s">
        <v>381</v>
      </c>
      <c r="B324" s="2">
        <v>45988</v>
      </c>
      <c r="C324" t="s">
        <v>32</v>
      </c>
      <c r="D324" t="s">
        <v>33</v>
      </c>
      <c r="E324" t="s">
        <v>15</v>
      </c>
      <c r="F324" t="s">
        <v>21</v>
      </c>
      <c r="G324" t="s">
        <v>22</v>
      </c>
      <c r="H324">
        <v>19</v>
      </c>
      <c r="I324">
        <v>15000</v>
      </c>
      <c r="J324">
        <f t="shared" si="10"/>
        <v>285000</v>
      </c>
      <c r="K324">
        <f>J324*0.85</f>
        <v>242250</v>
      </c>
      <c r="L324">
        <f t="shared" si="11"/>
        <v>42750</v>
      </c>
    </row>
    <row r="325" spans="1:12" x14ac:dyDescent="0.3">
      <c r="A325" t="s">
        <v>382</v>
      </c>
      <c r="B325" s="2">
        <v>46009</v>
      </c>
      <c r="C325" t="s">
        <v>24</v>
      </c>
      <c r="D325" t="s">
        <v>14</v>
      </c>
      <c r="E325" t="s">
        <v>30</v>
      </c>
      <c r="F325" t="s">
        <v>26</v>
      </c>
      <c r="G325" t="s">
        <v>69</v>
      </c>
      <c r="H325">
        <v>18</v>
      </c>
      <c r="I325">
        <v>2500</v>
      </c>
      <c r="J325">
        <f t="shared" si="10"/>
        <v>45000</v>
      </c>
      <c r="K325">
        <f>J325*0.81</f>
        <v>36450</v>
      </c>
      <c r="L325">
        <f t="shared" si="11"/>
        <v>8550</v>
      </c>
    </row>
    <row r="326" spans="1:12" x14ac:dyDescent="0.3">
      <c r="A326" t="s">
        <v>383</v>
      </c>
      <c r="B326" s="2">
        <v>45973</v>
      </c>
      <c r="C326" t="s">
        <v>32</v>
      </c>
      <c r="D326" t="s">
        <v>51</v>
      </c>
      <c r="E326" t="s">
        <v>35</v>
      </c>
      <c r="F326" t="s">
        <v>26</v>
      </c>
      <c r="G326" t="s">
        <v>52</v>
      </c>
      <c r="H326">
        <v>8</v>
      </c>
      <c r="I326">
        <v>35000</v>
      </c>
      <c r="J326">
        <f t="shared" si="10"/>
        <v>280000</v>
      </c>
      <c r="K326">
        <f>J326*0.73</f>
        <v>204400</v>
      </c>
      <c r="L326">
        <f t="shared" si="11"/>
        <v>75600</v>
      </c>
    </row>
    <row r="327" spans="1:12" x14ac:dyDescent="0.3">
      <c r="A327" t="s">
        <v>384</v>
      </c>
      <c r="B327" s="2">
        <v>45731</v>
      </c>
      <c r="C327" t="s">
        <v>63</v>
      </c>
      <c r="D327" t="s">
        <v>25</v>
      </c>
      <c r="E327" t="s">
        <v>35</v>
      </c>
      <c r="F327" t="s">
        <v>16</v>
      </c>
      <c r="G327" t="s">
        <v>17</v>
      </c>
      <c r="H327">
        <v>3</v>
      </c>
      <c r="I327">
        <v>300</v>
      </c>
      <c r="J327">
        <f t="shared" si="10"/>
        <v>900</v>
      </c>
      <c r="K327">
        <f>J327*0.73</f>
        <v>657</v>
      </c>
      <c r="L327">
        <f t="shared" si="11"/>
        <v>243</v>
      </c>
    </row>
    <row r="328" spans="1:12" x14ac:dyDescent="0.3">
      <c r="A328" t="s">
        <v>385</v>
      </c>
      <c r="B328" s="2">
        <v>45817</v>
      </c>
      <c r="C328" t="s">
        <v>43</v>
      </c>
      <c r="D328" t="s">
        <v>83</v>
      </c>
      <c r="E328" t="s">
        <v>30</v>
      </c>
      <c r="F328" t="s">
        <v>21</v>
      </c>
      <c r="G328" t="s">
        <v>54</v>
      </c>
      <c r="H328">
        <v>2</v>
      </c>
      <c r="I328">
        <v>18000</v>
      </c>
      <c r="J328">
        <f t="shared" si="10"/>
        <v>36000</v>
      </c>
      <c r="K328">
        <f>J328*0.81</f>
        <v>29160.000000000004</v>
      </c>
      <c r="L328">
        <f t="shared" si="11"/>
        <v>6839.9999999999964</v>
      </c>
    </row>
    <row r="329" spans="1:12" x14ac:dyDescent="0.3">
      <c r="A329" t="s">
        <v>386</v>
      </c>
      <c r="B329" s="2">
        <v>45660</v>
      </c>
      <c r="C329" t="s">
        <v>29</v>
      </c>
      <c r="D329" t="s">
        <v>51</v>
      </c>
      <c r="E329" t="s">
        <v>20</v>
      </c>
      <c r="F329" t="s">
        <v>26</v>
      </c>
      <c r="G329" t="s">
        <v>69</v>
      </c>
      <c r="H329">
        <v>2</v>
      </c>
      <c r="I329">
        <v>2500</v>
      </c>
      <c r="J329">
        <f t="shared" si="10"/>
        <v>5000</v>
      </c>
      <c r="K329">
        <f>J329*0.76</f>
        <v>3800</v>
      </c>
      <c r="L329">
        <f t="shared" si="11"/>
        <v>1200</v>
      </c>
    </row>
    <row r="330" spans="1:12" x14ac:dyDescent="0.3">
      <c r="A330" t="s">
        <v>387</v>
      </c>
      <c r="B330" s="2">
        <v>46020</v>
      </c>
      <c r="C330" t="s">
        <v>24</v>
      </c>
      <c r="D330" t="s">
        <v>51</v>
      </c>
      <c r="E330" t="s">
        <v>30</v>
      </c>
      <c r="F330" t="s">
        <v>16</v>
      </c>
      <c r="G330" t="s">
        <v>36</v>
      </c>
      <c r="H330">
        <v>19</v>
      </c>
      <c r="I330">
        <v>150</v>
      </c>
      <c r="J330">
        <f t="shared" si="10"/>
        <v>2850</v>
      </c>
      <c r="K330">
        <f>J330*0.77</f>
        <v>2194.5</v>
      </c>
      <c r="L330">
        <f t="shared" si="11"/>
        <v>655.5</v>
      </c>
    </row>
    <row r="331" spans="1:12" x14ac:dyDescent="0.3">
      <c r="A331" t="s">
        <v>388</v>
      </c>
      <c r="B331" s="2">
        <v>45938</v>
      </c>
      <c r="C331" t="s">
        <v>38</v>
      </c>
      <c r="D331" t="s">
        <v>19</v>
      </c>
      <c r="E331" t="s">
        <v>20</v>
      </c>
      <c r="F331" t="s">
        <v>16</v>
      </c>
      <c r="G331" t="s">
        <v>36</v>
      </c>
      <c r="H331">
        <v>17</v>
      </c>
      <c r="I331">
        <v>150</v>
      </c>
      <c r="J331">
        <f t="shared" si="10"/>
        <v>2550</v>
      </c>
      <c r="K331">
        <f>J331*0.85</f>
        <v>2167.5</v>
      </c>
      <c r="L331">
        <f t="shared" si="11"/>
        <v>382.5</v>
      </c>
    </row>
    <row r="332" spans="1:12" x14ac:dyDescent="0.3">
      <c r="A332" t="s">
        <v>389</v>
      </c>
      <c r="B332" s="2">
        <v>45772</v>
      </c>
      <c r="C332" t="s">
        <v>59</v>
      </c>
      <c r="D332" t="s">
        <v>25</v>
      </c>
      <c r="E332" t="s">
        <v>46</v>
      </c>
      <c r="F332" t="s">
        <v>26</v>
      </c>
      <c r="G332" t="s">
        <v>44</v>
      </c>
      <c r="H332">
        <v>19</v>
      </c>
      <c r="I332">
        <v>25000</v>
      </c>
      <c r="J332">
        <f t="shared" si="10"/>
        <v>475000</v>
      </c>
      <c r="K332">
        <f>J332*0.84</f>
        <v>399000</v>
      </c>
      <c r="L332">
        <f t="shared" si="11"/>
        <v>76000</v>
      </c>
    </row>
    <row r="333" spans="1:12" x14ac:dyDescent="0.3">
      <c r="A333" t="s">
        <v>390</v>
      </c>
      <c r="B333" s="2">
        <v>45689</v>
      </c>
      <c r="C333" t="s">
        <v>50</v>
      </c>
      <c r="D333" t="s">
        <v>64</v>
      </c>
      <c r="E333" t="s">
        <v>30</v>
      </c>
      <c r="F333" t="s">
        <v>16</v>
      </c>
      <c r="G333" t="s">
        <v>60</v>
      </c>
      <c r="H333">
        <v>10</v>
      </c>
      <c r="I333">
        <v>250</v>
      </c>
      <c r="J333">
        <f t="shared" si="10"/>
        <v>2500</v>
      </c>
      <c r="K333">
        <f>J333*0.75</f>
        <v>1875</v>
      </c>
      <c r="L333">
        <f t="shared" si="11"/>
        <v>625</v>
      </c>
    </row>
    <row r="334" spans="1:12" x14ac:dyDescent="0.3">
      <c r="A334" t="s">
        <v>391</v>
      </c>
      <c r="B334" s="2">
        <v>45999</v>
      </c>
      <c r="C334" t="s">
        <v>24</v>
      </c>
      <c r="D334" t="s">
        <v>25</v>
      </c>
      <c r="E334" t="s">
        <v>30</v>
      </c>
      <c r="F334" t="s">
        <v>26</v>
      </c>
      <c r="G334" t="s">
        <v>111</v>
      </c>
      <c r="H334">
        <v>10</v>
      </c>
      <c r="I334">
        <v>85000</v>
      </c>
      <c r="J334">
        <f t="shared" si="10"/>
        <v>850000</v>
      </c>
      <c r="K334">
        <f>J334*0.8</f>
        <v>680000</v>
      </c>
      <c r="L334">
        <f t="shared" si="11"/>
        <v>170000</v>
      </c>
    </row>
    <row r="335" spans="1:12" x14ac:dyDescent="0.3">
      <c r="A335" t="s">
        <v>392</v>
      </c>
      <c r="B335" s="2">
        <v>45892</v>
      </c>
      <c r="C335" t="s">
        <v>57</v>
      </c>
      <c r="D335" t="s">
        <v>83</v>
      </c>
      <c r="E335" t="s">
        <v>15</v>
      </c>
      <c r="F335" t="s">
        <v>21</v>
      </c>
      <c r="G335" t="s">
        <v>54</v>
      </c>
      <c r="H335">
        <v>1</v>
      </c>
      <c r="I335">
        <v>18000</v>
      </c>
      <c r="J335">
        <f t="shared" si="10"/>
        <v>18000</v>
      </c>
      <c r="K335">
        <f>J335*0.8</f>
        <v>14400</v>
      </c>
      <c r="L335">
        <f t="shared" si="11"/>
        <v>3600</v>
      </c>
    </row>
    <row r="336" spans="1:12" x14ac:dyDescent="0.3">
      <c r="A336" t="s">
        <v>393</v>
      </c>
      <c r="B336" s="2">
        <v>45781</v>
      </c>
      <c r="C336" t="s">
        <v>48</v>
      </c>
      <c r="D336" t="s">
        <v>19</v>
      </c>
      <c r="E336" t="s">
        <v>30</v>
      </c>
      <c r="F336" t="s">
        <v>21</v>
      </c>
      <c r="G336" t="s">
        <v>65</v>
      </c>
      <c r="H336">
        <v>12</v>
      </c>
      <c r="I336">
        <v>22000</v>
      </c>
      <c r="J336">
        <f t="shared" si="10"/>
        <v>264000</v>
      </c>
      <c r="K336">
        <f>J336*0.74</f>
        <v>195360</v>
      </c>
      <c r="L336">
        <f t="shared" si="11"/>
        <v>68640</v>
      </c>
    </row>
    <row r="337" spans="1:12" x14ac:dyDescent="0.3">
      <c r="A337" t="s">
        <v>394</v>
      </c>
      <c r="B337" s="2">
        <v>45870</v>
      </c>
      <c r="C337" t="s">
        <v>57</v>
      </c>
      <c r="D337" t="s">
        <v>86</v>
      </c>
      <c r="E337" t="s">
        <v>20</v>
      </c>
      <c r="F337" t="s">
        <v>21</v>
      </c>
      <c r="G337" t="s">
        <v>74</v>
      </c>
      <c r="H337">
        <v>1</v>
      </c>
      <c r="I337">
        <v>12000</v>
      </c>
      <c r="J337">
        <f t="shared" si="10"/>
        <v>12000</v>
      </c>
      <c r="K337">
        <f>J337*0.74</f>
        <v>8880</v>
      </c>
      <c r="L337">
        <f t="shared" si="11"/>
        <v>3120</v>
      </c>
    </row>
    <row r="338" spans="1:12" x14ac:dyDescent="0.3">
      <c r="A338" t="s">
        <v>395</v>
      </c>
      <c r="B338" s="2">
        <v>45917</v>
      </c>
      <c r="C338" t="s">
        <v>13</v>
      </c>
      <c r="D338" t="s">
        <v>51</v>
      </c>
      <c r="E338" t="s">
        <v>35</v>
      </c>
      <c r="F338" t="s">
        <v>21</v>
      </c>
      <c r="G338" t="s">
        <v>40</v>
      </c>
      <c r="H338">
        <v>8</v>
      </c>
      <c r="I338">
        <v>5000</v>
      </c>
      <c r="J338">
        <f t="shared" si="10"/>
        <v>40000</v>
      </c>
      <c r="K338">
        <f>J338*0.79</f>
        <v>31600</v>
      </c>
      <c r="L338">
        <f t="shared" si="11"/>
        <v>8400</v>
      </c>
    </row>
    <row r="339" spans="1:12" x14ac:dyDescent="0.3">
      <c r="A339" t="s">
        <v>396</v>
      </c>
      <c r="B339" s="2">
        <v>45851</v>
      </c>
      <c r="C339" t="s">
        <v>76</v>
      </c>
      <c r="D339" t="s">
        <v>25</v>
      </c>
      <c r="E339" t="s">
        <v>35</v>
      </c>
      <c r="F339" t="s">
        <v>16</v>
      </c>
      <c r="G339" t="s">
        <v>36</v>
      </c>
      <c r="H339">
        <v>1</v>
      </c>
      <c r="I339">
        <v>150</v>
      </c>
      <c r="J339">
        <f t="shared" si="10"/>
        <v>150</v>
      </c>
      <c r="K339">
        <f>J339*0.81</f>
        <v>121.50000000000001</v>
      </c>
      <c r="L339">
        <f t="shared" si="11"/>
        <v>28.499999999999986</v>
      </c>
    </row>
    <row r="340" spans="1:12" x14ac:dyDescent="0.3">
      <c r="A340" t="s">
        <v>397</v>
      </c>
      <c r="B340" s="2">
        <v>45750</v>
      </c>
      <c r="C340" t="s">
        <v>59</v>
      </c>
      <c r="D340" t="s">
        <v>51</v>
      </c>
      <c r="E340" t="s">
        <v>15</v>
      </c>
      <c r="F340" t="s">
        <v>16</v>
      </c>
      <c r="G340" t="s">
        <v>36</v>
      </c>
      <c r="H340">
        <v>2</v>
      </c>
      <c r="I340">
        <v>150</v>
      </c>
      <c r="J340">
        <f t="shared" si="10"/>
        <v>300</v>
      </c>
      <c r="K340">
        <f>J340*0.74</f>
        <v>222</v>
      </c>
      <c r="L340">
        <f t="shared" si="11"/>
        <v>78</v>
      </c>
    </row>
    <row r="341" spans="1:12" x14ac:dyDescent="0.3">
      <c r="A341" t="s">
        <v>398</v>
      </c>
      <c r="B341" s="2">
        <v>45902</v>
      </c>
      <c r="C341" t="s">
        <v>13</v>
      </c>
      <c r="D341" t="s">
        <v>33</v>
      </c>
      <c r="E341" t="s">
        <v>35</v>
      </c>
      <c r="F341" t="s">
        <v>16</v>
      </c>
      <c r="G341" t="s">
        <v>92</v>
      </c>
      <c r="H341">
        <v>6</v>
      </c>
      <c r="I341">
        <v>1200</v>
      </c>
      <c r="J341">
        <f t="shared" si="10"/>
        <v>7200</v>
      </c>
      <c r="K341">
        <f>J341*0.75</f>
        <v>5400</v>
      </c>
      <c r="L341">
        <f t="shared" si="11"/>
        <v>1800</v>
      </c>
    </row>
    <row r="342" spans="1:12" x14ac:dyDescent="0.3">
      <c r="A342" t="s">
        <v>399</v>
      </c>
      <c r="B342" s="2">
        <v>45973</v>
      </c>
      <c r="C342" t="s">
        <v>32</v>
      </c>
      <c r="D342" t="s">
        <v>86</v>
      </c>
      <c r="E342" t="s">
        <v>46</v>
      </c>
      <c r="F342" t="s">
        <v>16</v>
      </c>
      <c r="G342" t="s">
        <v>92</v>
      </c>
      <c r="H342">
        <v>8</v>
      </c>
      <c r="I342">
        <v>1200</v>
      </c>
      <c r="J342">
        <f t="shared" si="10"/>
        <v>9600</v>
      </c>
      <c r="K342">
        <f>J342*0.72</f>
        <v>6912</v>
      </c>
      <c r="L342">
        <f t="shared" si="11"/>
        <v>2688</v>
      </c>
    </row>
    <row r="343" spans="1:12" x14ac:dyDescent="0.3">
      <c r="A343" t="s">
        <v>400</v>
      </c>
      <c r="B343" s="2">
        <v>45669</v>
      </c>
      <c r="C343" t="s">
        <v>29</v>
      </c>
      <c r="D343" t="s">
        <v>72</v>
      </c>
      <c r="E343" t="s">
        <v>20</v>
      </c>
      <c r="F343" t="s">
        <v>21</v>
      </c>
      <c r="G343" t="s">
        <v>40</v>
      </c>
      <c r="H343">
        <v>6</v>
      </c>
      <c r="I343">
        <v>5000</v>
      </c>
      <c r="J343">
        <f t="shared" si="10"/>
        <v>30000</v>
      </c>
      <c r="K343">
        <f>J343*0.77</f>
        <v>23100</v>
      </c>
      <c r="L343">
        <f t="shared" si="11"/>
        <v>6900</v>
      </c>
    </row>
    <row r="344" spans="1:12" x14ac:dyDescent="0.3">
      <c r="A344" t="s">
        <v>401</v>
      </c>
      <c r="B344" s="2">
        <v>45738</v>
      </c>
      <c r="C344" t="s">
        <v>63</v>
      </c>
      <c r="D344" t="s">
        <v>86</v>
      </c>
      <c r="E344" t="s">
        <v>20</v>
      </c>
      <c r="F344" t="s">
        <v>21</v>
      </c>
      <c r="G344" t="s">
        <v>40</v>
      </c>
      <c r="H344">
        <v>17</v>
      </c>
      <c r="I344">
        <v>5000</v>
      </c>
      <c r="J344">
        <f t="shared" si="10"/>
        <v>85000</v>
      </c>
      <c r="K344">
        <f>J344*0.73</f>
        <v>62050</v>
      </c>
      <c r="L344">
        <f t="shared" si="11"/>
        <v>22950</v>
      </c>
    </row>
    <row r="345" spans="1:12" x14ac:dyDescent="0.3">
      <c r="A345" t="s">
        <v>402</v>
      </c>
      <c r="B345" s="2">
        <v>45692</v>
      </c>
      <c r="C345" t="s">
        <v>50</v>
      </c>
      <c r="D345" t="s">
        <v>33</v>
      </c>
      <c r="E345" t="s">
        <v>30</v>
      </c>
      <c r="F345" t="s">
        <v>21</v>
      </c>
      <c r="G345" t="s">
        <v>40</v>
      </c>
      <c r="H345">
        <v>3</v>
      </c>
      <c r="I345">
        <v>5000</v>
      </c>
      <c r="J345">
        <f t="shared" si="10"/>
        <v>15000</v>
      </c>
      <c r="K345">
        <f>J345*0.82</f>
        <v>12300</v>
      </c>
      <c r="L345">
        <f t="shared" si="11"/>
        <v>2700</v>
      </c>
    </row>
    <row r="346" spans="1:12" x14ac:dyDescent="0.3">
      <c r="A346" t="s">
        <v>403</v>
      </c>
      <c r="B346" s="2">
        <v>45686</v>
      </c>
      <c r="C346" t="s">
        <v>29</v>
      </c>
      <c r="D346" t="s">
        <v>33</v>
      </c>
      <c r="E346" t="s">
        <v>20</v>
      </c>
      <c r="F346" t="s">
        <v>16</v>
      </c>
      <c r="G346" t="s">
        <v>60</v>
      </c>
      <c r="H346">
        <v>1</v>
      </c>
      <c r="I346">
        <v>250</v>
      </c>
      <c r="J346">
        <f t="shared" si="10"/>
        <v>250</v>
      </c>
      <c r="K346">
        <f>J346*0.83</f>
        <v>207.5</v>
      </c>
      <c r="L346">
        <f t="shared" si="11"/>
        <v>42.5</v>
      </c>
    </row>
    <row r="347" spans="1:12" x14ac:dyDescent="0.3">
      <c r="A347" t="s">
        <v>404</v>
      </c>
      <c r="B347" s="2">
        <v>46009</v>
      </c>
      <c r="C347" t="s">
        <v>24</v>
      </c>
      <c r="D347" t="s">
        <v>83</v>
      </c>
      <c r="E347" t="s">
        <v>35</v>
      </c>
      <c r="F347" t="s">
        <v>16</v>
      </c>
      <c r="G347" t="s">
        <v>92</v>
      </c>
      <c r="H347">
        <v>6</v>
      </c>
      <c r="I347">
        <v>1200</v>
      </c>
      <c r="J347">
        <f t="shared" si="10"/>
        <v>7200</v>
      </c>
      <c r="K347">
        <f>J347*0.81</f>
        <v>5832</v>
      </c>
      <c r="L347">
        <f t="shared" si="11"/>
        <v>1368</v>
      </c>
    </row>
    <row r="348" spans="1:12" x14ac:dyDescent="0.3">
      <c r="A348" t="s">
        <v>405</v>
      </c>
      <c r="B348" s="2">
        <v>45699</v>
      </c>
      <c r="C348" t="s">
        <v>50</v>
      </c>
      <c r="D348" t="s">
        <v>25</v>
      </c>
      <c r="E348" t="s">
        <v>20</v>
      </c>
      <c r="F348" t="s">
        <v>26</v>
      </c>
      <c r="G348" t="s">
        <v>44</v>
      </c>
      <c r="H348">
        <v>4</v>
      </c>
      <c r="I348">
        <v>25000</v>
      </c>
      <c r="J348">
        <f t="shared" si="10"/>
        <v>100000</v>
      </c>
      <c r="K348">
        <f>J348*0.8</f>
        <v>80000</v>
      </c>
      <c r="L348">
        <f t="shared" si="11"/>
        <v>20000</v>
      </c>
    </row>
    <row r="349" spans="1:12" x14ac:dyDescent="0.3">
      <c r="A349" t="s">
        <v>406</v>
      </c>
      <c r="B349" s="2">
        <v>45810</v>
      </c>
      <c r="C349" t="s">
        <v>43</v>
      </c>
      <c r="D349" t="s">
        <v>72</v>
      </c>
      <c r="E349" t="s">
        <v>35</v>
      </c>
      <c r="F349" t="s">
        <v>21</v>
      </c>
      <c r="G349" t="s">
        <v>74</v>
      </c>
      <c r="H349">
        <v>1</v>
      </c>
      <c r="I349">
        <v>12000</v>
      </c>
      <c r="J349">
        <f t="shared" si="10"/>
        <v>12000</v>
      </c>
      <c r="K349">
        <f>J349*0.77</f>
        <v>9240</v>
      </c>
      <c r="L349">
        <f t="shared" si="11"/>
        <v>2760</v>
      </c>
    </row>
    <row r="350" spans="1:12" x14ac:dyDescent="0.3">
      <c r="A350" t="s">
        <v>407</v>
      </c>
      <c r="B350" s="2">
        <v>45714</v>
      </c>
      <c r="C350" t="s">
        <v>50</v>
      </c>
      <c r="D350" t="s">
        <v>19</v>
      </c>
      <c r="E350" t="s">
        <v>15</v>
      </c>
      <c r="F350" t="s">
        <v>26</v>
      </c>
      <c r="G350" t="s">
        <v>52</v>
      </c>
      <c r="H350">
        <v>12</v>
      </c>
      <c r="I350">
        <v>35000</v>
      </c>
      <c r="J350">
        <f t="shared" si="10"/>
        <v>420000</v>
      </c>
      <c r="K350">
        <f>J350*0.83</f>
        <v>348600</v>
      </c>
      <c r="L350">
        <f t="shared" si="11"/>
        <v>71400</v>
      </c>
    </row>
    <row r="351" spans="1:12" x14ac:dyDescent="0.3">
      <c r="A351" t="s">
        <v>408</v>
      </c>
      <c r="B351" s="2">
        <v>46021</v>
      </c>
      <c r="C351" t="s">
        <v>24</v>
      </c>
      <c r="D351" t="s">
        <v>14</v>
      </c>
      <c r="E351" t="s">
        <v>30</v>
      </c>
      <c r="F351" t="s">
        <v>21</v>
      </c>
      <c r="G351" t="s">
        <v>22</v>
      </c>
      <c r="H351">
        <v>14</v>
      </c>
      <c r="I351">
        <v>15000</v>
      </c>
      <c r="J351">
        <f t="shared" si="10"/>
        <v>210000</v>
      </c>
      <c r="K351">
        <f>J351*0.78</f>
        <v>163800</v>
      </c>
      <c r="L351">
        <f t="shared" si="11"/>
        <v>46200</v>
      </c>
    </row>
    <row r="352" spans="1:12" x14ac:dyDescent="0.3">
      <c r="A352" t="s">
        <v>409</v>
      </c>
      <c r="B352" s="2">
        <v>45770</v>
      </c>
      <c r="C352" t="s">
        <v>59</v>
      </c>
      <c r="D352" t="s">
        <v>33</v>
      </c>
      <c r="E352" t="s">
        <v>20</v>
      </c>
      <c r="F352" t="s">
        <v>16</v>
      </c>
      <c r="G352" t="s">
        <v>36</v>
      </c>
      <c r="H352">
        <v>20</v>
      </c>
      <c r="I352">
        <v>150</v>
      </c>
      <c r="J352">
        <f t="shared" si="10"/>
        <v>3000</v>
      </c>
      <c r="K352">
        <f>J352*0.76</f>
        <v>2280</v>
      </c>
      <c r="L352">
        <f t="shared" si="11"/>
        <v>720</v>
      </c>
    </row>
    <row r="353" spans="1:12" x14ac:dyDescent="0.3">
      <c r="A353" t="s">
        <v>410</v>
      </c>
      <c r="B353" s="2">
        <v>45903</v>
      </c>
      <c r="C353" t="s">
        <v>13</v>
      </c>
      <c r="D353" t="s">
        <v>19</v>
      </c>
      <c r="E353" t="s">
        <v>30</v>
      </c>
      <c r="F353" t="s">
        <v>26</v>
      </c>
      <c r="G353" t="s">
        <v>69</v>
      </c>
      <c r="H353">
        <v>2</v>
      </c>
      <c r="I353">
        <v>2500</v>
      </c>
      <c r="J353">
        <f t="shared" si="10"/>
        <v>5000</v>
      </c>
      <c r="K353">
        <f>J353*0.82</f>
        <v>4100</v>
      </c>
      <c r="L353">
        <f t="shared" si="11"/>
        <v>900</v>
      </c>
    </row>
    <row r="354" spans="1:12" x14ac:dyDescent="0.3">
      <c r="A354" t="s">
        <v>411</v>
      </c>
      <c r="B354" s="2">
        <v>45776</v>
      </c>
      <c r="C354" t="s">
        <v>59</v>
      </c>
      <c r="D354" t="s">
        <v>19</v>
      </c>
      <c r="E354" t="s">
        <v>46</v>
      </c>
      <c r="F354" t="s">
        <v>21</v>
      </c>
      <c r="G354" t="s">
        <v>22</v>
      </c>
      <c r="H354">
        <v>9</v>
      </c>
      <c r="I354">
        <v>15000</v>
      </c>
      <c r="J354">
        <f t="shared" si="10"/>
        <v>135000</v>
      </c>
      <c r="K354">
        <f>J354*0.74</f>
        <v>99900</v>
      </c>
      <c r="L354">
        <f t="shared" si="11"/>
        <v>35100</v>
      </c>
    </row>
    <row r="355" spans="1:12" x14ac:dyDescent="0.3">
      <c r="A355" t="s">
        <v>412</v>
      </c>
      <c r="B355" s="2">
        <v>45911</v>
      </c>
      <c r="C355" t="s">
        <v>13</v>
      </c>
      <c r="D355" t="s">
        <v>39</v>
      </c>
      <c r="E355" t="s">
        <v>30</v>
      </c>
      <c r="F355" t="s">
        <v>26</v>
      </c>
      <c r="G355" t="s">
        <v>44</v>
      </c>
      <c r="H355">
        <v>16</v>
      </c>
      <c r="I355">
        <v>25000</v>
      </c>
      <c r="J355">
        <f t="shared" si="10"/>
        <v>400000</v>
      </c>
      <c r="K355">
        <f>J355*0.76</f>
        <v>304000</v>
      </c>
      <c r="L355">
        <f t="shared" si="11"/>
        <v>96000</v>
      </c>
    </row>
    <row r="356" spans="1:12" x14ac:dyDescent="0.3">
      <c r="A356" t="s">
        <v>413</v>
      </c>
      <c r="B356" s="2">
        <v>46009</v>
      </c>
      <c r="C356" t="s">
        <v>24</v>
      </c>
      <c r="D356" t="s">
        <v>14</v>
      </c>
      <c r="E356" t="s">
        <v>30</v>
      </c>
      <c r="F356" t="s">
        <v>16</v>
      </c>
      <c r="G356" t="s">
        <v>92</v>
      </c>
      <c r="H356">
        <v>11</v>
      </c>
      <c r="I356">
        <v>1200</v>
      </c>
      <c r="J356">
        <f t="shared" si="10"/>
        <v>13200</v>
      </c>
      <c r="K356">
        <f>J356*0.77</f>
        <v>10164</v>
      </c>
      <c r="L356">
        <f t="shared" si="11"/>
        <v>3036</v>
      </c>
    </row>
    <row r="357" spans="1:12" x14ac:dyDescent="0.3">
      <c r="A357" t="s">
        <v>414</v>
      </c>
      <c r="B357" s="2">
        <v>45905</v>
      </c>
      <c r="C357" t="s">
        <v>13</v>
      </c>
      <c r="D357" t="s">
        <v>83</v>
      </c>
      <c r="E357" t="s">
        <v>35</v>
      </c>
      <c r="F357" t="s">
        <v>26</v>
      </c>
      <c r="G357" t="s">
        <v>69</v>
      </c>
      <c r="H357">
        <v>2</v>
      </c>
      <c r="I357">
        <v>2500</v>
      </c>
      <c r="J357">
        <f t="shared" si="10"/>
        <v>5000</v>
      </c>
      <c r="K357">
        <f>J357*0.74</f>
        <v>3700</v>
      </c>
      <c r="L357">
        <f t="shared" si="11"/>
        <v>1300</v>
      </c>
    </row>
    <row r="358" spans="1:12" x14ac:dyDescent="0.3">
      <c r="A358" t="s">
        <v>415</v>
      </c>
      <c r="B358" s="2">
        <v>45980</v>
      </c>
      <c r="C358" t="s">
        <v>32</v>
      </c>
      <c r="D358" t="s">
        <v>64</v>
      </c>
      <c r="E358" t="s">
        <v>46</v>
      </c>
      <c r="F358" t="s">
        <v>21</v>
      </c>
      <c r="G358" t="s">
        <v>22</v>
      </c>
      <c r="H358">
        <v>13</v>
      </c>
      <c r="I358">
        <v>15000</v>
      </c>
      <c r="J358">
        <f t="shared" si="10"/>
        <v>195000</v>
      </c>
      <c r="K358">
        <f>J358*0.84</f>
        <v>163800</v>
      </c>
      <c r="L358">
        <f t="shared" si="11"/>
        <v>31200</v>
      </c>
    </row>
    <row r="359" spans="1:12" x14ac:dyDescent="0.3">
      <c r="A359" t="s">
        <v>416</v>
      </c>
      <c r="B359" s="2">
        <v>45751</v>
      </c>
      <c r="C359" t="s">
        <v>59</v>
      </c>
      <c r="D359" t="s">
        <v>86</v>
      </c>
      <c r="E359" t="s">
        <v>46</v>
      </c>
      <c r="F359" t="s">
        <v>26</v>
      </c>
      <c r="G359" t="s">
        <v>111</v>
      </c>
      <c r="H359">
        <v>8</v>
      </c>
      <c r="I359">
        <v>85000</v>
      </c>
      <c r="J359">
        <f t="shared" si="10"/>
        <v>680000</v>
      </c>
      <c r="K359">
        <f>J359*0.84</f>
        <v>571200</v>
      </c>
      <c r="L359">
        <f t="shared" si="11"/>
        <v>108800</v>
      </c>
    </row>
    <row r="360" spans="1:12" x14ac:dyDescent="0.3">
      <c r="A360" t="s">
        <v>417</v>
      </c>
      <c r="B360" s="2">
        <v>45761</v>
      </c>
      <c r="C360" t="s">
        <v>59</v>
      </c>
      <c r="D360" t="s">
        <v>33</v>
      </c>
      <c r="E360" t="s">
        <v>30</v>
      </c>
      <c r="F360" t="s">
        <v>21</v>
      </c>
      <c r="G360" t="s">
        <v>22</v>
      </c>
      <c r="H360">
        <v>5</v>
      </c>
      <c r="I360">
        <v>15000</v>
      </c>
      <c r="J360">
        <f t="shared" si="10"/>
        <v>75000</v>
      </c>
      <c r="K360">
        <f>J360*0.73</f>
        <v>54750</v>
      </c>
      <c r="L360">
        <f t="shared" si="11"/>
        <v>20250</v>
      </c>
    </row>
    <row r="361" spans="1:12" x14ac:dyDescent="0.3">
      <c r="A361" t="s">
        <v>418</v>
      </c>
      <c r="B361" s="2">
        <v>45911</v>
      </c>
      <c r="C361" t="s">
        <v>13</v>
      </c>
      <c r="D361" t="s">
        <v>86</v>
      </c>
      <c r="E361" t="s">
        <v>15</v>
      </c>
      <c r="F361" t="s">
        <v>26</v>
      </c>
      <c r="G361" t="s">
        <v>52</v>
      </c>
      <c r="H361">
        <v>11</v>
      </c>
      <c r="I361">
        <v>35000</v>
      </c>
      <c r="J361">
        <f t="shared" si="10"/>
        <v>385000</v>
      </c>
      <c r="K361">
        <f>J361*0.85</f>
        <v>327250</v>
      </c>
      <c r="L361">
        <f t="shared" si="11"/>
        <v>57750</v>
      </c>
    </row>
    <row r="362" spans="1:12" x14ac:dyDescent="0.3">
      <c r="A362" t="s">
        <v>419</v>
      </c>
      <c r="B362" s="2">
        <v>45962</v>
      </c>
      <c r="C362" t="s">
        <v>32</v>
      </c>
      <c r="D362" t="s">
        <v>86</v>
      </c>
      <c r="E362" t="s">
        <v>15</v>
      </c>
      <c r="F362" t="s">
        <v>16</v>
      </c>
      <c r="G362" t="s">
        <v>92</v>
      </c>
      <c r="H362">
        <v>2</v>
      </c>
      <c r="I362">
        <v>1200</v>
      </c>
      <c r="J362">
        <f t="shared" si="10"/>
        <v>2400</v>
      </c>
      <c r="K362">
        <f>J362*0.71</f>
        <v>1704</v>
      </c>
      <c r="L362">
        <f t="shared" si="11"/>
        <v>696</v>
      </c>
    </row>
    <row r="363" spans="1:12" x14ac:dyDescent="0.3">
      <c r="A363" t="s">
        <v>420</v>
      </c>
      <c r="B363" s="2">
        <v>45836</v>
      </c>
      <c r="C363" t="s">
        <v>43</v>
      </c>
      <c r="D363" t="s">
        <v>33</v>
      </c>
      <c r="E363" t="s">
        <v>20</v>
      </c>
      <c r="F363" t="s">
        <v>26</v>
      </c>
      <c r="G363" t="s">
        <v>127</v>
      </c>
      <c r="H363">
        <v>10</v>
      </c>
      <c r="I363">
        <v>1500</v>
      </c>
      <c r="J363">
        <f t="shared" si="10"/>
        <v>15000</v>
      </c>
      <c r="K363">
        <f>J363*0.82</f>
        <v>12300</v>
      </c>
      <c r="L363">
        <f t="shared" si="11"/>
        <v>2700</v>
      </c>
    </row>
    <row r="364" spans="1:12" x14ac:dyDescent="0.3">
      <c r="A364" t="s">
        <v>421</v>
      </c>
      <c r="B364" s="2">
        <v>45962</v>
      </c>
      <c r="C364" t="s">
        <v>32</v>
      </c>
      <c r="D364" t="s">
        <v>14</v>
      </c>
      <c r="E364" t="s">
        <v>30</v>
      </c>
      <c r="F364" t="s">
        <v>16</v>
      </c>
      <c r="G364" t="s">
        <v>92</v>
      </c>
      <c r="H364">
        <v>13</v>
      </c>
      <c r="I364">
        <v>1200</v>
      </c>
      <c r="J364">
        <f t="shared" si="10"/>
        <v>15600</v>
      </c>
      <c r="K364">
        <f>J364*0.83</f>
        <v>12948</v>
      </c>
      <c r="L364">
        <f t="shared" si="11"/>
        <v>2652</v>
      </c>
    </row>
    <row r="365" spans="1:12" x14ac:dyDescent="0.3">
      <c r="A365" t="s">
        <v>422</v>
      </c>
      <c r="B365" s="2">
        <v>45916</v>
      </c>
      <c r="C365" t="s">
        <v>13</v>
      </c>
      <c r="D365" t="s">
        <v>86</v>
      </c>
      <c r="E365" t="s">
        <v>35</v>
      </c>
      <c r="F365" t="s">
        <v>16</v>
      </c>
      <c r="G365" t="s">
        <v>60</v>
      </c>
      <c r="H365">
        <v>11</v>
      </c>
      <c r="I365">
        <v>250</v>
      </c>
      <c r="J365">
        <f t="shared" si="10"/>
        <v>2750</v>
      </c>
      <c r="K365">
        <f>J365*0.73</f>
        <v>2007.5</v>
      </c>
      <c r="L365">
        <f t="shared" si="11"/>
        <v>742.5</v>
      </c>
    </row>
    <row r="366" spans="1:12" x14ac:dyDescent="0.3">
      <c r="A366" t="s">
        <v>423</v>
      </c>
      <c r="B366" s="2">
        <v>45908</v>
      </c>
      <c r="C366" t="s">
        <v>13</v>
      </c>
      <c r="D366" t="s">
        <v>72</v>
      </c>
      <c r="E366" t="s">
        <v>20</v>
      </c>
      <c r="F366" t="s">
        <v>16</v>
      </c>
      <c r="G366" t="s">
        <v>92</v>
      </c>
      <c r="H366">
        <v>12</v>
      </c>
      <c r="I366">
        <v>1200</v>
      </c>
      <c r="J366">
        <f t="shared" si="10"/>
        <v>14400</v>
      </c>
      <c r="K366">
        <f>J366*0.71</f>
        <v>10224</v>
      </c>
      <c r="L366">
        <f t="shared" si="11"/>
        <v>4176</v>
      </c>
    </row>
    <row r="367" spans="1:12" x14ac:dyDescent="0.3">
      <c r="A367" t="s">
        <v>424</v>
      </c>
      <c r="B367" s="2">
        <v>45725</v>
      </c>
      <c r="C367" t="s">
        <v>63</v>
      </c>
      <c r="D367" t="s">
        <v>64</v>
      </c>
      <c r="E367" t="s">
        <v>35</v>
      </c>
      <c r="F367" t="s">
        <v>21</v>
      </c>
      <c r="G367" t="s">
        <v>65</v>
      </c>
      <c r="H367">
        <v>9</v>
      </c>
      <c r="I367">
        <v>22000</v>
      </c>
      <c r="J367">
        <f t="shared" si="10"/>
        <v>198000</v>
      </c>
      <c r="K367">
        <f>J367*0.8</f>
        <v>158400</v>
      </c>
      <c r="L367">
        <f t="shared" si="11"/>
        <v>39600</v>
      </c>
    </row>
    <row r="368" spans="1:12" x14ac:dyDescent="0.3">
      <c r="A368" t="s">
        <v>425</v>
      </c>
      <c r="B368" s="2">
        <v>45946</v>
      </c>
      <c r="C368" t="s">
        <v>38</v>
      </c>
      <c r="D368" t="s">
        <v>83</v>
      </c>
      <c r="E368" t="s">
        <v>46</v>
      </c>
      <c r="F368" t="s">
        <v>21</v>
      </c>
      <c r="G368" t="s">
        <v>65</v>
      </c>
      <c r="H368">
        <v>6</v>
      </c>
      <c r="I368">
        <v>22000</v>
      </c>
      <c r="J368">
        <f t="shared" si="10"/>
        <v>132000</v>
      </c>
      <c r="K368">
        <f>J368*0.74</f>
        <v>97680</v>
      </c>
      <c r="L368">
        <f t="shared" si="11"/>
        <v>34320</v>
      </c>
    </row>
    <row r="369" spans="1:12" x14ac:dyDescent="0.3">
      <c r="A369" t="s">
        <v>426</v>
      </c>
      <c r="B369" s="2">
        <v>45824</v>
      </c>
      <c r="C369" t="s">
        <v>43</v>
      </c>
      <c r="D369" t="s">
        <v>19</v>
      </c>
      <c r="E369" t="s">
        <v>30</v>
      </c>
      <c r="F369" t="s">
        <v>26</v>
      </c>
      <c r="G369" t="s">
        <v>127</v>
      </c>
      <c r="H369">
        <v>7</v>
      </c>
      <c r="I369">
        <v>1500</v>
      </c>
      <c r="J369">
        <f t="shared" si="10"/>
        <v>10500</v>
      </c>
      <c r="K369">
        <f>J369*0.74</f>
        <v>7770</v>
      </c>
      <c r="L369">
        <f t="shared" si="11"/>
        <v>2730</v>
      </c>
    </row>
    <row r="370" spans="1:12" x14ac:dyDescent="0.3">
      <c r="A370" t="s">
        <v>427</v>
      </c>
      <c r="B370" s="2">
        <v>45690</v>
      </c>
      <c r="C370" t="s">
        <v>50</v>
      </c>
      <c r="D370" t="s">
        <v>64</v>
      </c>
      <c r="E370" t="s">
        <v>20</v>
      </c>
      <c r="F370" t="s">
        <v>16</v>
      </c>
      <c r="G370" t="s">
        <v>60</v>
      </c>
      <c r="H370">
        <v>11</v>
      </c>
      <c r="I370">
        <v>250</v>
      </c>
      <c r="J370">
        <f t="shared" si="10"/>
        <v>2750</v>
      </c>
      <c r="K370">
        <f>J370*0.71</f>
        <v>1952.5</v>
      </c>
      <c r="L370">
        <f t="shared" si="11"/>
        <v>797.5</v>
      </c>
    </row>
    <row r="371" spans="1:12" x14ac:dyDescent="0.3">
      <c r="A371" t="s">
        <v>428</v>
      </c>
      <c r="B371" s="2">
        <v>45761</v>
      </c>
      <c r="C371" t="s">
        <v>59</v>
      </c>
      <c r="D371" t="s">
        <v>19</v>
      </c>
      <c r="E371" t="s">
        <v>15</v>
      </c>
      <c r="F371" t="s">
        <v>26</v>
      </c>
      <c r="G371" t="s">
        <v>27</v>
      </c>
      <c r="H371">
        <v>5</v>
      </c>
      <c r="I371">
        <v>45000</v>
      </c>
      <c r="J371">
        <f t="shared" si="10"/>
        <v>225000</v>
      </c>
      <c r="K371">
        <f>J371*0.75</f>
        <v>168750</v>
      </c>
      <c r="L371">
        <f t="shared" si="11"/>
        <v>56250</v>
      </c>
    </row>
    <row r="372" spans="1:12" x14ac:dyDescent="0.3">
      <c r="A372" t="s">
        <v>429</v>
      </c>
      <c r="B372" s="2">
        <v>45744</v>
      </c>
      <c r="C372" t="s">
        <v>63</v>
      </c>
      <c r="D372" t="s">
        <v>19</v>
      </c>
      <c r="E372" t="s">
        <v>35</v>
      </c>
      <c r="F372" t="s">
        <v>21</v>
      </c>
      <c r="G372" t="s">
        <v>40</v>
      </c>
      <c r="H372">
        <v>2</v>
      </c>
      <c r="I372">
        <v>5000</v>
      </c>
      <c r="J372">
        <f t="shared" si="10"/>
        <v>10000</v>
      </c>
      <c r="K372">
        <f>J372*0.75</f>
        <v>7500</v>
      </c>
      <c r="L372">
        <f t="shared" si="11"/>
        <v>2500</v>
      </c>
    </row>
    <row r="373" spans="1:12" x14ac:dyDescent="0.3">
      <c r="A373" t="s">
        <v>430</v>
      </c>
      <c r="B373" s="2">
        <v>45870</v>
      </c>
      <c r="C373" t="s">
        <v>57</v>
      </c>
      <c r="D373" t="s">
        <v>51</v>
      </c>
      <c r="E373" t="s">
        <v>35</v>
      </c>
      <c r="F373" t="s">
        <v>26</v>
      </c>
      <c r="G373" t="s">
        <v>111</v>
      </c>
      <c r="H373">
        <v>1</v>
      </c>
      <c r="I373">
        <v>85000</v>
      </c>
      <c r="J373">
        <f t="shared" si="10"/>
        <v>85000</v>
      </c>
      <c r="K373">
        <f>J373*0.78</f>
        <v>66300</v>
      </c>
      <c r="L373">
        <f t="shared" si="11"/>
        <v>18700</v>
      </c>
    </row>
    <row r="374" spans="1:12" x14ac:dyDescent="0.3">
      <c r="A374" t="s">
        <v>431</v>
      </c>
      <c r="B374" s="2">
        <v>45975</v>
      </c>
      <c r="C374" t="s">
        <v>32</v>
      </c>
      <c r="D374" t="s">
        <v>14</v>
      </c>
      <c r="E374" t="s">
        <v>46</v>
      </c>
      <c r="F374" t="s">
        <v>16</v>
      </c>
      <c r="G374" t="s">
        <v>60</v>
      </c>
      <c r="H374">
        <v>2</v>
      </c>
      <c r="I374">
        <v>250</v>
      </c>
      <c r="J374">
        <f t="shared" si="10"/>
        <v>500</v>
      </c>
      <c r="K374">
        <f>J374*0.74</f>
        <v>370</v>
      </c>
      <c r="L374">
        <f t="shared" si="11"/>
        <v>130</v>
      </c>
    </row>
    <row r="375" spans="1:12" x14ac:dyDescent="0.3">
      <c r="A375" t="s">
        <v>432</v>
      </c>
      <c r="B375" s="2">
        <v>45703</v>
      </c>
      <c r="C375" t="s">
        <v>50</v>
      </c>
      <c r="D375" t="s">
        <v>86</v>
      </c>
      <c r="E375" t="s">
        <v>15</v>
      </c>
      <c r="F375" t="s">
        <v>16</v>
      </c>
      <c r="G375" t="s">
        <v>60</v>
      </c>
      <c r="H375">
        <v>18</v>
      </c>
      <c r="I375">
        <v>250</v>
      </c>
      <c r="J375">
        <f t="shared" si="10"/>
        <v>4500</v>
      </c>
      <c r="K375">
        <f>J375*0.82</f>
        <v>3690</v>
      </c>
      <c r="L375">
        <f t="shared" si="11"/>
        <v>810</v>
      </c>
    </row>
    <row r="376" spans="1:12" x14ac:dyDescent="0.3">
      <c r="A376" t="s">
        <v>433</v>
      </c>
      <c r="B376" s="2">
        <v>45736</v>
      </c>
      <c r="C376" t="s">
        <v>63</v>
      </c>
      <c r="D376" t="s">
        <v>25</v>
      </c>
      <c r="E376" t="s">
        <v>15</v>
      </c>
      <c r="F376" t="s">
        <v>26</v>
      </c>
      <c r="G376" t="s">
        <v>27</v>
      </c>
      <c r="H376">
        <v>8</v>
      </c>
      <c r="I376">
        <v>45000</v>
      </c>
      <c r="J376">
        <f t="shared" si="10"/>
        <v>360000</v>
      </c>
      <c r="K376">
        <f>J376*0.7</f>
        <v>251999.99999999997</v>
      </c>
      <c r="L376">
        <f t="shared" si="11"/>
        <v>108000.00000000003</v>
      </c>
    </row>
    <row r="377" spans="1:12" x14ac:dyDescent="0.3">
      <c r="A377" t="s">
        <v>434</v>
      </c>
      <c r="B377" s="2">
        <v>45856</v>
      </c>
      <c r="C377" t="s">
        <v>76</v>
      </c>
      <c r="D377" t="s">
        <v>19</v>
      </c>
      <c r="E377" t="s">
        <v>20</v>
      </c>
      <c r="F377" t="s">
        <v>16</v>
      </c>
      <c r="G377" t="s">
        <v>78</v>
      </c>
      <c r="H377">
        <v>15</v>
      </c>
      <c r="I377">
        <v>800</v>
      </c>
      <c r="J377">
        <f t="shared" si="10"/>
        <v>12000</v>
      </c>
      <c r="K377">
        <f>J377*0.8</f>
        <v>9600</v>
      </c>
      <c r="L377">
        <f t="shared" si="11"/>
        <v>2400</v>
      </c>
    </row>
    <row r="378" spans="1:12" x14ac:dyDescent="0.3">
      <c r="A378" t="s">
        <v>435</v>
      </c>
      <c r="B378" s="2">
        <v>45709</v>
      </c>
      <c r="C378" t="s">
        <v>50</v>
      </c>
      <c r="D378" t="s">
        <v>64</v>
      </c>
      <c r="E378" t="s">
        <v>35</v>
      </c>
      <c r="F378" t="s">
        <v>16</v>
      </c>
      <c r="G378" t="s">
        <v>78</v>
      </c>
      <c r="H378">
        <v>2</v>
      </c>
      <c r="I378">
        <v>800</v>
      </c>
      <c r="J378">
        <f t="shared" si="10"/>
        <v>1600</v>
      </c>
      <c r="K378">
        <f>J378*0.81</f>
        <v>1296</v>
      </c>
      <c r="L378">
        <f t="shared" si="11"/>
        <v>304</v>
      </c>
    </row>
    <row r="379" spans="1:12" x14ac:dyDescent="0.3">
      <c r="A379" t="s">
        <v>436</v>
      </c>
      <c r="B379" s="2">
        <v>45700</v>
      </c>
      <c r="C379" t="s">
        <v>50</v>
      </c>
      <c r="D379" t="s">
        <v>83</v>
      </c>
      <c r="E379" t="s">
        <v>35</v>
      </c>
      <c r="F379" t="s">
        <v>21</v>
      </c>
      <c r="G379" t="s">
        <v>22</v>
      </c>
      <c r="H379">
        <v>8</v>
      </c>
      <c r="I379">
        <v>15000</v>
      </c>
      <c r="J379">
        <f t="shared" si="10"/>
        <v>120000</v>
      </c>
      <c r="K379">
        <f>J379*0.83</f>
        <v>99600</v>
      </c>
      <c r="L379">
        <f t="shared" si="11"/>
        <v>20400</v>
      </c>
    </row>
    <row r="380" spans="1:12" x14ac:dyDescent="0.3">
      <c r="A380" t="s">
        <v>437</v>
      </c>
      <c r="B380" s="2">
        <v>45811</v>
      </c>
      <c r="C380" t="s">
        <v>43</v>
      </c>
      <c r="D380" t="s">
        <v>39</v>
      </c>
      <c r="E380" t="s">
        <v>35</v>
      </c>
      <c r="F380" t="s">
        <v>16</v>
      </c>
      <c r="G380" t="s">
        <v>78</v>
      </c>
      <c r="H380">
        <v>20</v>
      </c>
      <c r="I380">
        <v>800</v>
      </c>
      <c r="J380">
        <f t="shared" si="10"/>
        <v>16000</v>
      </c>
      <c r="K380">
        <f>J380*0.77</f>
        <v>12320</v>
      </c>
      <c r="L380">
        <f t="shared" si="11"/>
        <v>3680</v>
      </c>
    </row>
    <row r="381" spans="1:12" x14ac:dyDescent="0.3">
      <c r="A381" t="s">
        <v>438</v>
      </c>
      <c r="B381" s="2">
        <v>45719</v>
      </c>
      <c r="C381" t="s">
        <v>63</v>
      </c>
      <c r="D381" t="s">
        <v>14</v>
      </c>
      <c r="E381" t="s">
        <v>15</v>
      </c>
      <c r="F381" t="s">
        <v>21</v>
      </c>
      <c r="G381" t="s">
        <v>74</v>
      </c>
      <c r="H381">
        <v>12</v>
      </c>
      <c r="I381">
        <v>12000</v>
      </c>
      <c r="J381">
        <f t="shared" si="10"/>
        <v>144000</v>
      </c>
      <c r="K381">
        <f>J381*0.75</f>
        <v>108000</v>
      </c>
      <c r="L381">
        <f t="shared" si="11"/>
        <v>36000</v>
      </c>
    </row>
    <row r="382" spans="1:12" x14ac:dyDescent="0.3">
      <c r="A382" t="s">
        <v>439</v>
      </c>
      <c r="B382" s="2">
        <v>45969</v>
      </c>
      <c r="C382" t="s">
        <v>32</v>
      </c>
      <c r="D382" t="s">
        <v>25</v>
      </c>
      <c r="E382" t="s">
        <v>46</v>
      </c>
      <c r="F382" t="s">
        <v>21</v>
      </c>
      <c r="G382" t="s">
        <v>65</v>
      </c>
      <c r="H382">
        <v>8</v>
      </c>
      <c r="I382">
        <v>22000</v>
      </c>
      <c r="J382">
        <f t="shared" si="10"/>
        <v>176000</v>
      </c>
      <c r="K382">
        <f>J382*0.81</f>
        <v>142560</v>
      </c>
      <c r="L382">
        <f t="shared" si="11"/>
        <v>33440</v>
      </c>
    </row>
    <row r="383" spans="1:12" x14ac:dyDescent="0.3">
      <c r="A383" t="s">
        <v>440</v>
      </c>
      <c r="B383" s="2">
        <v>45895</v>
      </c>
      <c r="C383" t="s">
        <v>57</v>
      </c>
      <c r="D383" t="s">
        <v>14</v>
      </c>
      <c r="E383" t="s">
        <v>20</v>
      </c>
      <c r="F383" t="s">
        <v>21</v>
      </c>
      <c r="G383" t="s">
        <v>22</v>
      </c>
      <c r="H383">
        <v>12</v>
      </c>
      <c r="I383">
        <v>15000</v>
      </c>
      <c r="J383">
        <f t="shared" si="10"/>
        <v>180000</v>
      </c>
      <c r="K383">
        <f>J383*0.73</f>
        <v>131400</v>
      </c>
      <c r="L383">
        <f t="shared" si="11"/>
        <v>48600</v>
      </c>
    </row>
    <row r="384" spans="1:12" x14ac:dyDescent="0.3">
      <c r="A384" t="s">
        <v>441</v>
      </c>
      <c r="B384" s="2">
        <v>45881</v>
      </c>
      <c r="C384" t="s">
        <v>57</v>
      </c>
      <c r="D384" t="s">
        <v>39</v>
      </c>
      <c r="E384" t="s">
        <v>35</v>
      </c>
      <c r="F384" t="s">
        <v>16</v>
      </c>
      <c r="G384" t="s">
        <v>36</v>
      </c>
      <c r="H384">
        <v>19</v>
      </c>
      <c r="I384">
        <v>150</v>
      </c>
      <c r="J384">
        <f t="shared" si="10"/>
        <v>2850</v>
      </c>
      <c r="K384">
        <f>J384*0.83</f>
        <v>2365.5</v>
      </c>
      <c r="L384">
        <f t="shared" si="11"/>
        <v>484.5</v>
      </c>
    </row>
    <row r="385" spans="1:12" x14ac:dyDescent="0.3">
      <c r="A385" t="s">
        <v>442</v>
      </c>
      <c r="B385" s="2">
        <v>45706</v>
      </c>
      <c r="C385" t="s">
        <v>50</v>
      </c>
      <c r="D385" t="s">
        <v>83</v>
      </c>
      <c r="E385" t="s">
        <v>20</v>
      </c>
      <c r="F385" t="s">
        <v>21</v>
      </c>
      <c r="G385" t="s">
        <v>40</v>
      </c>
      <c r="H385">
        <v>16</v>
      </c>
      <c r="I385">
        <v>5000</v>
      </c>
      <c r="J385">
        <f t="shared" si="10"/>
        <v>80000</v>
      </c>
      <c r="K385">
        <f>J385*0.84</f>
        <v>67200</v>
      </c>
      <c r="L385">
        <f t="shared" si="11"/>
        <v>12800</v>
      </c>
    </row>
    <row r="386" spans="1:12" x14ac:dyDescent="0.3">
      <c r="A386" t="s">
        <v>443</v>
      </c>
      <c r="B386" s="2">
        <v>45774</v>
      </c>
      <c r="C386" t="s">
        <v>59</v>
      </c>
      <c r="D386" t="s">
        <v>64</v>
      </c>
      <c r="E386" t="s">
        <v>46</v>
      </c>
      <c r="F386" t="s">
        <v>21</v>
      </c>
      <c r="G386" t="s">
        <v>65</v>
      </c>
      <c r="H386">
        <v>14</v>
      </c>
      <c r="I386">
        <v>22000</v>
      </c>
      <c r="J386">
        <f t="shared" ref="J386:J449" si="12">H386*I386</f>
        <v>308000</v>
      </c>
      <c r="K386">
        <f>J386*0.77</f>
        <v>237160</v>
      </c>
      <c r="L386">
        <f t="shared" ref="L386:L449" si="13">J386-K386</f>
        <v>70840</v>
      </c>
    </row>
    <row r="387" spans="1:12" x14ac:dyDescent="0.3">
      <c r="A387" t="s">
        <v>444</v>
      </c>
      <c r="B387" s="2">
        <v>45677</v>
      </c>
      <c r="C387" t="s">
        <v>29</v>
      </c>
      <c r="D387" t="s">
        <v>33</v>
      </c>
      <c r="E387" t="s">
        <v>35</v>
      </c>
      <c r="F387" t="s">
        <v>21</v>
      </c>
      <c r="G387" t="s">
        <v>22</v>
      </c>
      <c r="H387">
        <v>10</v>
      </c>
      <c r="I387">
        <v>15000</v>
      </c>
      <c r="J387">
        <f t="shared" si="12"/>
        <v>150000</v>
      </c>
      <c r="K387">
        <f>J387*0.84</f>
        <v>126000</v>
      </c>
      <c r="L387">
        <f t="shared" si="13"/>
        <v>24000</v>
      </c>
    </row>
    <row r="388" spans="1:12" x14ac:dyDescent="0.3">
      <c r="A388" t="s">
        <v>445</v>
      </c>
      <c r="B388" s="2">
        <v>45993</v>
      </c>
      <c r="C388" t="s">
        <v>24</v>
      </c>
      <c r="D388" t="s">
        <v>86</v>
      </c>
      <c r="E388" t="s">
        <v>15</v>
      </c>
      <c r="F388" t="s">
        <v>16</v>
      </c>
      <c r="G388" t="s">
        <v>92</v>
      </c>
      <c r="H388">
        <v>20</v>
      </c>
      <c r="I388">
        <v>1200</v>
      </c>
      <c r="J388">
        <f t="shared" si="12"/>
        <v>24000</v>
      </c>
      <c r="K388">
        <f>J388*0.79</f>
        <v>18960</v>
      </c>
      <c r="L388">
        <f t="shared" si="13"/>
        <v>5040</v>
      </c>
    </row>
    <row r="389" spans="1:12" x14ac:dyDescent="0.3">
      <c r="A389" t="s">
        <v>446</v>
      </c>
      <c r="B389" s="2">
        <v>45686</v>
      </c>
      <c r="C389" t="s">
        <v>29</v>
      </c>
      <c r="D389" t="s">
        <v>51</v>
      </c>
      <c r="E389" t="s">
        <v>20</v>
      </c>
      <c r="F389" t="s">
        <v>26</v>
      </c>
      <c r="G389" t="s">
        <v>27</v>
      </c>
      <c r="H389">
        <v>2</v>
      </c>
      <c r="I389">
        <v>45000</v>
      </c>
      <c r="J389">
        <f t="shared" si="12"/>
        <v>90000</v>
      </c>
      <c r="K389">
        <f>J389*0.81</f>
        <v>72900</v>
      </c>
      <c r="L389">
        <f t="shared" si="13"/>
        <v>17100</v>
      </c>
    </row>
    <row r="390" spans="1:12" x14ac:dyDescent="0.3">
      <c r="A390" t="s">
        <v>447</v>
      </c>
      <c r="B390" s="2">
        <v>45682</v>
      </c>
      <c r="C390" t="s">
        <v>29</v>
      </c>
      <c r="D390" t="s">
        <v>86</v>
      </c>
      <c r="E390" t="s">
        <v>15</v>
      </c>
      <c r="F390" t="s">
        <v>21</v>
      </c>
      <c r="G390" t="s">
        <v>40</v>
      </c>
      <c r="H390">
        <v>11</v>
      </c>
      <c r="I390">
        <v>5000</v>
      </c>
      <c r="J390">
        <f t="shared" si="12"/>
        <v>55000</v>
      </c>
      <c r="K390">
        <f>J390*0.7</f>
        <v>38500</v>
      </c>
      <c r="L390">
        <f t="shared" si="13"/>
        <v>16500</v>
      </c>
    </row>
    <row r="391" spans="1:12" x14ac:dyDescent="0.3">
      <c r="A391" t="s">
        <v>448</v>
      </c>
      <c r="B391" s="2">
        <v>45772</v>
      </c>
      <c r="C391" t="s">
        <v>59</v>
      </c>
      <c r="D391" t="s">
        <v>72</v>
      </c>
      <c r="E391" t="s">
        <v>15</v>
      </c>
      <c r="F391" t="s">
        <v>26</v>
      </c>
      <c r="G391" t="s">
        <v>111</v>
      </c>
      <c r="H391">
        <v>5</v>
      </c>
      <c r="I391">
        <v>85000</v>
      </c>
      <c r="J391">
        <f t="shared" si="12"/>
        <v>425000</v>
      </c>
      <c r="K391">
        <f>J391*0.78</f>
        <v>331500</v>
      </c>
      <c r="L391">
        <f t="shared" si="13"/>
        <v>93500</v>
      </c>
    </row>
    <row r="392" spans="1:12" x14ac:dyDescent="0.3">
      <c r="A392" t="s">
        <v>449</v>
      </c>
      <c r="B392" s="2">
        <v>45774</v>
      </c>
      <c r="C392" t="s">
        <v>59</v>
      </c>
      <c r="D392" t="s">
        <v>72</v>
      </c>
      <c r="E392" t="s">
        <v>46</v>
      </c>
      <c r="F392" t="s">
        <v>16</v>
      </c>
      <c r="G392" t="s">
        <v>60</v>
      </c>
      <c r="H392">
        <v>17</v>
      </c>
      <c r="I392">
        <v>250</v>
      </c>
      <c r="J392">
        <f t="shared" si="12"/>
        <v>4250</v>
      </c>
      <c r="K392">
        <f>J392*0.77</f>
        <v>3272.5</v>
      </c>
      <c r="L392">
        <f t="shared" si="13"/>
        <v>977.5</v>
      </c>
    </row>
    <row r="393" spans="1:12" x14ac:dyDescent="0.3">
      <c r="A393" t="s">
        <v>450</v>
      </c>
      <c r="B393" s="2">
        <v>45790</v>
      </c>
      <c r="C393" t="s">
        <v>48</v>
      </c>
      <c r="D393" t="s">
        <v>25</v>
      </c>
      <c r="E393" t="s">
        <v>30</v>
      </c>
      <c r="F393" t="s">
        <v>26</v>
      </c>
      <c r="G393" t="s">
        <v>94</v>
      </c>
      <c r="H393">
        <v>8</v>
      </c>
      <c r="I393">
        <v>28000</v>
      </c>
      <c r="J393">
        <f t="shared" si="12"/>
        <v>224000</v>
      </c>
      <c r="K393">
        <f>J393*0.74</f>
        <v>165760</v>
      </c>
      <c r="L393">
        <f t="shared" si="13"/>
        <v>58240</v>
      </c>
    </row>
    <row r="394" spans="1:12" x14ac:dyDescent="0.3">
      <c r="A394" t="s">
        <v>451</v>
      </c>
      <c r="B394" s="2">
        <v>45702</v>
      </c>
      <c r="C394" t="s">
        <v>50</v>
      </c>
      <c r="D394" t="s">
        <v>25</v>
      </c>
      <c r="E394" t="s">
        <v>35</v>
      </c>
      <c r="F394" t="s">
        <v>21</v>
      </c>
      <c r="G394" t="s">
        <v>65</v>
      </c>
      <c r="H394">
        <v>4</v>
      </c>
      <c r="I394">
        <v>22000</v>
      </c>
      <c r="J394">
        <f t="shared" si="12"/>
        <v>88000</v>
      </c>
      <c r="K394">
        <f>J394*0.83</f>
        <v>73040</v>
      </c>
      <c r="L394">
        <f t="shared" si="13"/>
        <v>14960</v>
      </c>
    </row>
    <row r="395" spans="1:12" x14ac:dyDescent="0.3">
      <c r="A395" t="s">
        <v>452</v>
      </c>
      <c r="B395" s="2">
        <v>45756</v>
      </c>
      <c r="C395" t="s">
        <v>59</v>
      </c>
      <c r="D395" t="s">
        <v>14</v>
      </c>
      <c r="E395" t="s">
        <v>30</v>
      </c>
      <c r="F395" t="s">
        <v>21</v>
      </c>
      <c r="G395" t="s">
        <v>74</v>
      </c>
      <c r="H395">
        <v>19</v>
      </c>
      <c r="I395">
        <v>12000</v>
      </c>
      <c r="J395">
        <f t="shared" si="12"/>
        <v>228000</v>
      </c>
      <c r="K395">
        <f>J395*0.74</f>
        <v>168720</v>
      </c>
      <c r="L395">
        <f t="shared" si="13"/>
        <v>59280</v>
      </c>
    </row>
    <row r="396" spans="1:12" x14ac:dyDescent="0.3">
      <c r="A396" t="s">
        <v>453</v>
      </c>
      <c r="B396" s="2">
        <v>45726</v>
      </c>
      <c r="C396" t="s">
        <v>63</v>
      </c>
      <c r="D396" t="s">
        <v>25</v>
      </c>
      <c r="E396" t="s">
        <v>35</v>
      </c>
      <c r="F396" t="s">
        <v>21</v>
      </c>
      <c r="G396" t="s">
        <v>65</v>
      </c>
      <c r="H396">
        <v>7</v>
      </c>
      <c r="I396">
        <v>22000</v>
      </c>
      <c r="J396">
        <f t="shared" si="12"/>
        <v>154000</v>
      </c>
      <c r="K396">
        <f>J396*0.76</f>
        <v>117040</v>
      </c>
      <c r="L396">
        <f t="shared" si="13"/>
        <v>36960</v>
      </c>
    </row>
    <row r="397" spans="1:12" x14ac:dyDescent="0.3">
      <c r="A397" t="s">
        <v>454</v>
      </c>
      <c r="B397" s="2">
        <v>45815</v>
      </c>
      <c r="C397" t="s">
        <v>43</v>
      </c>
      <c r="D397" t="s">
        <v>83</v>
      </c>
      <c r="E397" t="s">
        <v>46</v>
      </c>
      <c r="F397" t="s">
        <v>21</v>
      </c>
      <c r="G397" t="s">
        <v>65</v>
      </c>
      <c r="H397">
        <v>11</v>
      </c>
      <c r="I397">
        <v>22000</v>
      </c>
      <c r="J397">
        <f t="shared" si="12"/>
        <v>242000</v>
      </c>
      <c r="K397">
        <f>J397*0.84</f>
        <v>203280</v>
      </c>
      <c r="L397">
        <f t="shared" si="13"/>
        <v>38720</v>
      </c>
    </row>
    <row r="398" spans="1:12" x14ac:dyDescent="0.3">
      <c r="A398" t="s">
        <v>455</v>
      </c>
      <c r="B398" s="2">
        <v>45685</v>
      </c>
      <c r="C398" t="s">
        <v>29</v>
      </c>
      <c r="D398" t="s">
        <v>39</v>
      </c>
      <c r="E398" t="s">
        <v>15</v>
      </c>
      <c r="F398" t="s">
        <v>16</v>
      </c>
      <c r="G398" t="s">
        <v>36</v>
      </c>
      <c r="H398">
        <v>18</v>
      </c>
      <c r="I398">
        <v>150</v>
      </c>
      <c r="J398">
        <f t="shared" si="12"/>
        <v>2700</v>
      </c>
      <c r="K398">
        <f>J398*0.77</f>
        <v>2079</v>
      </c>
      <c r="L398">
        <f t="shared" si="13"/>
        <v>621</v>
      </c>
    </row>
    <row r="399" spans="1:12" x14ac:dyDescent="0.3">
      <c r="A399" t="s">
        <v>456</v>
      </c>
      <c r="B399" s="2">
        <v>45746</v>
      </c>
      <c r="C399" t="s">
        <v>63</v>
      </c>
      <c r="D399" t="s">
        <v>51</v>
      </c>
      <c r="E399" t="s">
        <v>35</v>
      </c>
      <c r="F399" t="s">
        <v>26</v>
      </c>
      <c r="G399" t="s">
        <v>44</v>
      </c>
      <c r="H399">
        <v>8</v>
      </c>
      <c r="I399">
        <v>25000</v>
      </c>
      <c r="J399">
        <f t="shared" si="12"/>
        <v>200000</v>
      </c>
      <c r="K399">
        <f>J399*0.84</f>
        <v>168000</v>
      </c>
      <c r="L399">
        <f t="shared" si="13"/>
        <v>32000</v>
      </c>
    </row>
    <row r="400" spans="1:12" x14ac:dyDescent="0.3">
      <c r="A400" t="s">
        <v>457</v>
      </c>
      <c r="B400" s="2">
        <v>45691</v>
      </c>
      <c r="C400" t="s">
        <v>50</v>
      </c>
      <c r="D400" t="s">
        <v>86</v>
      </c>
      <c r="E400" t="s">
        <v>20</v>
      </c>
      <c r="F400" t="s">
        <v>21</v>
      </c>
      <c r="G400" t="s">
        <v>65</v>
      </c>
      <c r="H400">
        <v>7</v>
      </c>
      <c r="I400">
        <v>22000</v>
      </c>
      <c r="J400">
        <f t="shared" si="12"/>
        <v>154000</v>
      </c>
      <c r="K400">
        <f>J400*0.75</f>
        <v>115500</v>
      </c>
      <c r="L400">
        <f t="shared" si="13"/>
        <v>38500</v>
      </c>
    </row>
    <row r="401" spans="1:12" x14ac:dyDescent="0.3">
      <c r="A401" t="s">
        <v>458</v>
      </c>
      <c r="B401" s="2">
        <v>45869</v>
      </c>
      <c r="C401" t="s">
        <v>76</v>
      </c>
      <c r="D401" t="s">
        <v>39</v>
      </c>
      <c r="E401" t="s">
        <v>30</v>
      </c>
      <c r="F401" t="s">
        <v>16</v>
      </c>
      <c r="G401" t="s">
        <v>60</v>
      </c>
      <c r="H401">
        <v>19</v>
      </c>
      <c r="I401">
        <v>250</v>
      </c>
      <c r="J401">
        <f t="shared" si="12"/>
        <v>4750</v>
      </c>
      <c r="K401">
        <f>J401*0.76</f>
        <v>3610</v>
      </c>
      <c r="L401">
        <f t="shared" si="13"/>
        <v>1140</v>
      </c>
    </row>
    <row r="402" spans="1:12" x14ac:dyDescent="0.3">
      <c r="A402" t="s">
        <v>459</v>
      </c>
      <c r="B402" s="2">
        <v>45725</v>
      </c>
      <c r="C402" t="s">
        <v>63</v>
      </c>
      <c r="D402" t="s">
        <v>25</v>
      </c>
      <c r="E402" t="s">
        <v>20</v>
      </c>
      <c r="F402" t="s">
        <v>26</v>
      </c>
      <c r="G402" t="s">
        <v>111</v>
      </c>
      <c r="H402">
        <v>6</v>
      </c>
      <c r="I402">
        <v>85000</v>
      </c>
      <c r="J402">
        <f t="shared" si="12"/>
        <v>510000</v>
      </c>
      <c r="K402">
        <f>J402*0.85</f>
        <v>433500</v>
      </c>
      <c r="L402">
        <f t="shared" si="13"/>
        <v>76500</v>
      </c>
    </row>
    <row r="403" spans="1:12" x14ac:dyDescent="0.3">
      <c r="A403" t="s">
        <v>460</v>
      </c>
      <c r="B403" s="2">
        <v>45896</v>
      </c>
      <c r="C403" t="s">
        <v>57</v>
      </c>
      <c r="D403" t="s">
        <v>51</v>
      </c>
      <c r="E403" t="s">
        <v>20</v>
      </c>
      <c r="F403" t="s">
        <v>26</v>
      </c>
      <c r="G403" t="s">
        <v>52</v>
      </c>
      <c r="H403">
        <v>5</v>
      </c>
      <c r="I403">
        <v>35000</v>
      </c>
      <c r="J403">
        <f t="shared" si="12"/>
        <v>175000</v>
      </c>
      <c r="K403">
        <f>J403*0.76</f>
        <v>133000</v>
      </c>
      <c r="L403">
        <f t="shared" si="13"/>
        <v>42000</v>
      </c>
    </row>
    <row r="404" spans="1:12" x14ac:dyDescent="0.3">
      <c r="A404" t="s">
        <v>461</v>
      </c>
      <c r="B404" s="2">
        <v>46012</v>
      </c>
      <c r="C404" t="s">
        <v>24</v>
      </c>
      <c r="D404" t="s">
        <v>33</v>
      </c>
      <c r="E404" t="s">
        <v>15</v>
      </c>
      <c r="F404" t="s">
        <v>21</v>
      </c>
      <c r="G404" t="s">
        <v>22</v>
      </c>
      <c r="H404">
        <v>9</v>
      </c>
      <c r="I404">
        <v>15000</v>
      </c>
      <c r="J404">
        <f t="shared" si="12"/>
        <v>135000</v>
      </c>
      <c r="K404">
        <f>J404*0.73</f>
        <v>98550</v>
      </c>
      <c r="L404">
        <f t="shared" si="13"/>
        <v>36450</v>
      </c>
    </row>
    <row r="405" spans="1:12" x14ac:dyDescent="0.3">
      <c r="A405" t="s">
        <v>462</v>
      </c>
      <c r="B405" s="2">
        <v>45831</v>
      </c>
      <c r="C405" t="s">
        <v>43</v>
      </c>
      <c r="D405" t="s">
        <v>33</v>
      </c>
      <c r="E405" t="s">
        <v>15</v>
      </c>
      <c r="F405" t="s">
        <v>21</v>
      </c>
      <c r="G405" t="s">
        <v>40</v>
      </c>
      <c r="H405">
        <v>1</v>
      </c>
      <c r="I405">
        <v>5000</v>
      </c>
      <c r="J405">
        <f t="shared" si="12"/>
        <v>5000</v>
      </c>
      <c r="K405">
        <f>J405*0.82</f>
        <v>4100</v>
      </c>
      <c r="L405">
        <f t="shared" si="13"/>
        <v>900</v>
      </c>
    </row>
    <row r="406" spans="1:12" x14ac:dyDescent="0.3">
      <c r="A406" t="s">
        <v>463</v>
      </c>
      <c r="B406" s="2">
        <v>45689</v>
      </c>
      <c r="C406" t="s">
        <v>50</v>
      </c>
      <c r="D406" t="s">
        <v>86</v>
      </c>
      <c r="E406" t="s">
        <v>46</v>
      </c>
      <c r="F406" t="s">
        <v>21</v>
      </c>
      <c r="G406" t="s">
        <v>22</v>
      </c>
      <c r="H406">
        <v>6</v>
      </c>
      <c r="I406">
        <v>15000</v>
      </c>
      <c r="J406">
        <f t="shared" si="12"/>
        <v>90000</v>
      </c>
      <c r="K406">
        <f>J406*0.78</f>
        <v>70200</v>
      </c>
      <c r="L406">
        <f t="shared" si="13"/>
        <v>19800</v>
      </c>
    </row>
    <row r="407" spans="1:12" x14ac:dyDescent="0.3">
      <c r="A407" t="s">
        <v>464</v>
      </c>
      <c r="B407" s="2">
        <v>45997</v>
      </c>
      <c r="C407" t="s">
        <v>24</v>
      </c>
      <c r="D407" t="s">
        <v>86</v>
      </c>
      <c r="E407" t="s">
        <v>15</v>
      </c>
      <c r="F407" t="s">
        <v>21</v>
      </c>
      <c r="G407" t="s">
        <v>74</v>
      </c>
      <c r="H407">
        <v>9</v>
      </c>
      <c r="I407">
        <v>12000</v>
      </c>
      <c r="J407">
        <f t="shared" si="12"/>
        <v>108000</v>
      </c>
      <c r="K407">
        <f>J407*0.8</f>
        <v>86400</v>
      </c>
      <c r="L407">
        <f t="shared" si="13"/>
        <v>21600</v>
      </c>
    </row>
    <row r="408" spans="1:12" x14ac:dyDescent="0.3">
      <c r="A408" t="s">
        <v>465</v>
      </c>
      <c r="B408" s="2">
        <v>45762</v>
      </c>
      <c r="C408" t="s">
        <v>59</v>
      </c>
      <c r="D408" t="s">
        <v>19</v>
      </c>
      <c r="E408" t="s">
        <v>15</v>
      </c>
      <c r="F408" t="s">
        <v>26</v>
      </c>
      <c r="G408" t="s">
        <v>69</v>
      </c>
      <c r="H408">
        <v>9</v>
      </c>
      <c r="I408">
        <v>2500</v>
      </c>
      <c r="J408">
        <f t="shared" si="12"/>
        <v>22500</v>
      </c>
      <c r="K408">
        <f>J408*0.84</f>
        <v>18900</v>
      </c>
      <c r="L408">
        <f t="shared" si="13"/>
        <v>3600</v>
      </c>
    </row>
    <row r="409" spans="1:12" x14ac:dyDescent="0.3">
      <c r="A409" t="s">
        <v>466</v>
      </c>
      <c r="B409" s="2">
        <v>45701</v>
      </c>
      <c r="C409" t="s">
        <v>50</v>
      </c>
      <c r="D409" t="s">
        <v>33</v>
      </c>
      <c r="E409" t="s">
        <v>30</v>
      </c>
      <c r="F409" t="s">
        <v>21</v>
      </c>
      <c r="G409" t="s">
        <v>22</v>
      </c>
      <c r="H409">
        <v>4</v>
      </c>
      <c r="I409">
        <v>15000</v>
      </c>
      <c r="J409">
        <f t="shared" si="12"/>
        <v>60000</v>
      </c>
      <c r="K409">
        <f>J409*0.83</f>
        <v>49800</v>
      </c>
      <c r="L409">
        <f t="shared" si="13"/>
        <v>10200</v>
      </c>
    </row>
    <row r="410" spans="1:12" x14ac:dyDescent="0.3">
      <c r="A410" t="s">
        <v>467</v>
      </c>
      <c r="B410" s="2">
        <v>45759</v>
      </c>
      <c r="C410" t="s">
        <v>59</v>
      </c>
      <c r="D410" t="s">
        <v>72</v>
      </c>
      <c r="E410" t="s">
        <v>46</v>
      </c>
      <c r="F410" t="s">
        <v>16</v>
      </c>
      <c r="G410" t="s">
        <v>17</v>
      </c>
      <c r="H410">
        <v>20</v>
      </c>
      <c r="I410">
        <v>300</v>
      </c>
      <c r="J410">
        <f t="shared" si="12"/>
        <v>6000</v>
      </c>
      <c r="K410">
        <f>J410*0.8</f>
        <v>4800</v>
      </c>
      <c r="L410">
        <f t="shared" si="13"/>
        <v>1200</v>
      </c>
    </row>
    <row r="411" spans="1:12" x14ac:dyDescent="0.3">
      <c r="A411" t="s">
        <v>468</v>
      </c>
      <c r="B411" s="2">
        <v>46001</v>
      </c>
      <c r="C411" t="s">
        <v>24</v>
      </c>
      <c r="D411" t="s">
        <v>83</v>
      </c>
      <c r="E411" t="s">
        <v>15</v>
      </c>
      <c r="F411" t="s">
        <v>26</v>
      </c>
      <c r="G411" t="s">
        <v>94</v>
      </c>
      <c r="H411">
        <v>8</v>
      </c>
      <c r="I411">
        <v>28000</v>
      </c>
      <c r="J411">
        <f t="shared" si="12"/>
        <v>224000</v>
      </c>
      <c r="K411">
        <f>J411*0.82</f>
        <v>183680</v>
      </c>
      <c r="L411">
        <f t="shared" si="13"/>
        <v>40320</v>
      </c>
    </row>
    <row r="412" spans="1:12" x14ac:dyDescent="0.3">
      <c r="A412" t="s">
        <v>469</v>
      </c>
      <c r="B412" s="2">
        <v>45774</v>
      </c>
      <c r="C412" t="s">
        <v>59</v>
      </c>
      <c r="D412" t="s">
        <v>33</v>
      </c>
      <c r="E412" t="s">
        <v>20</v>
      </c>
      <c r="F412" t="s">
        <v>21</v>
      </c>
      <c r="G412" t="s">
        <v>65</v>
      </c>
      <c r="H412">
        <v>1</v>
      </c>
      <c r="I412">
        <v>22000</v>
      </c>
      <c r="J412">
        <f t="shared" si="12"/>
        <v>22000</v>
      </c>
      <c r="K412">
        <f>J412*0.82</f>
        <v>18040</v>
      </c>
      <c r="L412">
        <f t="shared" si="13"/>
        <v>3960</v>
      </c>
    </row>
    <row r="413" spans="1:12" x14ac:dyDescent="0.3">
      <c r="A413" t="s">
        <v>470</v>
      </c>
      <c r="B413" s="2">
        <v>45780</v>
      </c>
      <c r="C413" t="s">
        <v>48</v>
      </c>
      <c r="D413" t="s">
        <v>14</v>
      </c>
      <c r="E413" t="s">
        <v>30</v>
      </c>
      <c r="F413" t="s">
        <v>26</v>
      </c>
      <c r="G413" t="s">
        <v>69</v>
      </c>
      <c r="H413">
        <v>8</v>
      </c>
      <c r="I413">
        <v>2500</v>
      </c>
      <c r="J413">
        <f t="shared" si="12"/>
        <v>20000</v>
      </c>
      <c r="K413">
        <f>J413*0.75</f>
        <v>15000</v>
      </c>
      <c r="L413">
        <f t="shared" si="13"/>
        <v>5000</v>
      </c>
    </row>
    <row r="414" spans="1:12" x14ac:dyDescent="0.3">
      <c r="A414" t="s">
        <v>471</v>
      </c>
      <c r="B414" s="2">
        <v>45876</v>
      </c>
      <c r="C414" t="s">
        <v>57</v>
      </c>
      <c r="D414" t="s">
        <v>51</v>
      </c>
      <c r="E414" t="s">
        <v>30</v>
      </c>
      <c r="F414" t="s">
        <v>26</v>
      </c>
      <c r="G414" t="s">
        <v>127</v>
      </c>
      <c r="H414">
        <v>19</v>
      </c>
      <c r="I414">
        <v>1500</v>
      </c>
      <c r="J414">
        <f t="shared" si="12"/>
        <v>28500</v>
      </c>
      <c r="K414">
        <f>J414*0.83</f>
        <v>23655</v>
      </c>
      <c r="L414">
        <f t="shared" si="13"/>
        <v>4845</v>
      </c>
    </row>
    <row r="415" spans="1:12" x14ac:dyDescent="0.3">
      <c r="A415" t="s">
        <v>472</v>
      </c>
      <c r="B415" s="2">
        <v>45972</v>
      </c>
      <c r="C415" t="s">
        <v>32</v>
      </c>
      <c r="D415" t="s">
        <v>39</v>
      </c>
      <c r="E415" t="s">
        <v>46</v>
      </c>
      <c r="F415" t="s">
        <v>21</v>
      </c>
      <c r="G415" t="s">
        <v>54</v>
      </c>
      <c r="H415">
        <v>9</v>
      </c>
      <c r="I415">
        <v>18000</v>
      </c>
      <c r="J415">
        <f t="shared" si="12"/>
        <v>162000</v>
      </c>
      <c r="K415">
        <f>J415*0.71</f>
        <v>115020</v>
      </c>
      <c r="L415">
        <f t="shared" si="13"/>
        <v>46980</v>
      </c>
    </row>
    <row r="416" spans="1:12" x14ac:dyDescent="0.3">
      <c r="A416" t="s">
        <v>473</v>
      </c>
      <c r="B416" s="2">
        <v>45792</v>
      </c>
      <c r="C416" t="s">
        <v>48</v>
      </c>
      <c r="D416" t="s">
        <v>39</v>
      </c>
      <c r="E416" t="s">
        <v>30</v>
      </c>
      <c r="F416" t="s">
        <v>21</v>
      </c>
      <c r="G416" t="s">
        <v>65</v>
      </c>
      <c r="H416">
        <v>7</v>
      </c>
      <c r="I416">
        <v>22000</v>
      </c>
      <c r="J416">
        <f t="shared" si="12"/>
        <v>154000</v>
      </c>
      <c r="K416">
        <f>J416*0.71</f>
        <v>109340</v>
      </c>
      <c r="L416">
        <f t="shared" si="13"/>
        <v>44660</v>
      </c>
    </row>
    <row r="417" spans="1:12" x14ac:dyDescent="0.3">
      <c r="A417" t="s">
        <v>474</v>
      </c>
      <c r="B417" s="2">
        <v>45721</v>
      </c>
      <c r="C417" t="s">
        <v>63</v>
      </c>
      <c r="D417" t="s">
        <v>25</v>
      </c>
      <c r="E417" t="s">
        <v>46</v>
      </c>
      <c r="F417" t="s">
        <v>26</v>
      </c>
      <c r="G417" t="s">
        <v>44</v>
      </c>
      <c r="H417">
        <v>14</v>
      </c>
      <c r="I417">
        <v>25000</v>
      </c>
      <c r="J417">
        <f t="shared" si="12"/>
        <v>350000</v>
      </c>
      <c r="K417">
        <f>J417*0.82</f>
        <v>287000</v>
      </c>
      <c r="L417">
        <f t="shared" si="13"/>
        <v>63000</v>
      </c>
    </row>
    <row r="418" spans="1:12" x14ac:dyDescent="0.3">
      <c r="A418" t="s">
        <v>475</v>
      </c>
      <c r="B418" s="2">
        <v>45788</v>
      </c>
      <c r="C418" t="s">
        <v>48</v>
      </c>
      <c r="D418" t="s">
        <v>25</v>
      </c>
      <c r="E418" t="s">
        <v>30</v>
      </c>
      <c r="F418" t="s">
        <v>26</v>
      </c>
      <c r="G418" t="s">
        <v>127</v>
      </c>
      <c r="H418">
        <v>11</v>
      </c>
      <c r="I418">
        <v>1500</v>
      </c>
      <c r="J418">
        <f t="shared" si="12"/>
        <v>16500</v>
      </c>
      <c r="K418">
        <f>J418*0.73</f>
        <v>12045</v>
      </c>
      <c r="L418">
        <f t="shared" si="13"/>
        <v>4455</v>
      </c>
    </row>
    <row r="419" spans="1:12" x14ac:dyDescent="0.3">
      <c r="A419" t="s">
        <v>476</v>
      </c>
      <c r="B419" s="2">
        <v>45866</v>
      </c>
      <c r="C419" t="s">
        <v>76</v>
      </c>
      <c r="D419" t="s">
        <v>14</v>
      </c>
      <c r="E419" t="s">
        <v>46</v>
      </c>
      <c r="F419" t="s">
        <v>16</v>
      </c>
      <c r="G419" t="s">
        <v>17</v>
      </c>
      <c r="H419">
        <v>9</v>
      </c>
      <c r="I419">
        <v>300</v>
      </c>
      <c r="J419">
        <f t="shared" si="12"/>
        <v>2700</v>
      </c>
      <c r="K419">
        <f>J419*0.84</f>
        <v>2268</v>
      </c>
      <c r="L419">
        <f t="shared" si="13"/>
        <v>432</v>
      </c>
    </row>
    <row r="420" spans="1:12" x14ac:dyDescent="0.3">
      <c r="A420" t="s">
        <v>477</v>
      </c>
      <c r="B420" s="2">
        <v>45659</v>
      </c>
      <c r="C420" t="s">
        <v>29</v>
      </c>
      <c r="D420" t="s">
        <v>39</v>
      </c>
      <c r="E420" t="s">
        <v>20</v>
      </c>
      <c r="F420" t="s">
        <v>26</v>
      </c>
      <c r="G420" t="s">
        <v>69</v>
      </c>
      <c r="H420">
        <v>20</v>
      </c>
      <c r="I420">
        <v>2500</v>
      </c>
      <c r="J420">
        <f t="shared" si="12"/>
        <v>50000</v>
      </c>
      <c r="K420">
        <f>J420*0.76</f>
        <v>38000</v>
      </c>
      <c r="L420">
        <f t="shared" si="13"/>
        <v>12000</v>
      </c>
    </row>
    <row r="421" spans="1:12" x14ac:dyDescent="0.3">
      <c r="A421" t="s">
        <v>478</v>
      </c>
      <c r="B421" s="2">
        <v>45737</v>
      </c>
      <c r="C421" t="s">
        <v>63</v>
      </c>
      <c r="D421" t="s">
        <v>83</v>
      </c>
      <c r="E421" t="s">
        <v>15</v>
      </c>
      <c r="F421" t="s">
        <v>26</v>
      </c>
      <c r="G421" t="s">
        <v>27</v>
      </c>
      <c r="H421">
        <v>9</v>
      </c>
      <c r="I421">
        <v>45000</v>
      </c>
      <c r="J421">
        <f t="shared" si="12"/>
        <v>405000</v>
      </c>
      <c r="K421">
        <f>J421*0.78</f>
        <v>315900</v>
      </c>
      <c r="L421">
        <f t="shared" si="13"/>
        <v>89100</v>
      </c>
    </row>
    <row r="422" spans="1:12" x14ac:dyDescent="0.3">
      <c r="A422" t="s">
        <v>479</v>
      </c>
      <c r="B422" s="2">
        <v>45779</v>
      </c>
      <c r="C422" t="s">
        <v>48</v>
      </c>
      <c r="D422" t="s">
        <v>86</v>
      </c>
      <c r="E422" t="s">
        <v>20</v>
      </c>
      <c r="F422" t="s">
        <v>26</v>
      </c>
      <c r="G422" t="s">
        <v>127</v>
      </c>
      <c r="H422">
        <v>9</v>
      </c>
      <c r="I422">
        <v>1500</v>
      </c>
      <c r="J422">
        <f t="shared" si="12"/>
        <v>13500</v>
      </c>
      <c r="K422">
        <f>J422*0.85</f>
        <v>11475</v>
      </c>
      <c r="L422">
        <f t="shared" si="13"/>
        <v>2025</v>
      </c>
    </row>
    <row r="423" spans="1:12" x14ac:dyDescent="0.3">
      <c r="A423" t="s">
        <v>480</v>
      </c>
      <c r="B423" s="2">
        <v>45816</v>
      </c>
      <c r="C423" t="s">
        <v>43</v>
      </c>
      <c r="D423" t="s">
        <v>39</v>
      </c>
      <c r="E423" t="s">
        <v>35</v>
      </c>
      <c r="F423" t="s">
        <v>26</v>
      </c>
      <c r="G423" t="s">
        <v>52</v>
      </c>
      <c r="H423">
        <v>3</v>
      </c>
      <c r="I423">
        <v>35000</v>
      </c>
      <c r="J423">
        <f t="shared" si="12"/>
        <v>105000</v>
      </c>
      <c r="K423">
        <f>J423*0.71</f>
        <v>74550</v>
      </c>
      <c r="L423">
        <f t="shared" si="13"/>
        <v>30450</v>
      </c>
    </row>
    <row r="424" spans="1:12" x14ac:dyDescent="0.3">
      <c r="A424" t="s">
        <v>481</v>
      </c>
      <c r="B424" s="2">
        <v>45737</v>
      </c>
      <c r="C424" t="s">
        <v>63</v>
      </c>
      <c r="D424" t="s">
        <v>86</v>
      </c>
      <c r="E424" t="s">
        <v>15</v>
      </c>
      <c r="F424" t="s">
        <v>21</v>
      </c>
      <c r="G424" t="s">
        <v>40</v>
      </c>
      <c r="H424">
        <v>17</v>
      </c>
      <c r="I424">
        <v>5000</v>
      </c>
      <c r="J424">
        <f t="shared" si="12"/>
        <v>85000</v>
      </c>
      <c r="K424">
        <f>J424*0.78</f>
        <v>66300</v>
      </c>
      <c r="L424">
        <f t="shared" si="13"/>
        <v>18700</v>
      </c>
    </row>
    <row r="425" spans="1:12" x14ac:dyDescent="0.3">
      <c r="A425" t="s">
        <v>482</v>
      </c>
      <c r="B425" s="2">
        <v>45716</v>
      </c>
      <c r="C425" t="s">
        <v>50</v>
      </c>
      <c r="D425" t="s">
        <v>25</v>
      </c>
      <c r="E425" t="s">
        <v>30</v>
      </c>
      <c r="F425" t="s">
        <v>26</v>
      </c>
      <c r="G425" t="s">
        <v>44</v>
      </c>
      <c r="H425">
        <v>7</v>
      </c>
      <c r="I425">
        <v>25000</v>
      </c>
      <c r="J425">
        <f t="shared" si="12"/>
        <v>175000</v>
      </c>
      <c r="K425">
        <f>J425*0.79</f>
        <v>138250</v>
      </c>
      <c r="L425">
        <f t="shared" si="13"/>
        <v>36750</v>
      </c>
    </row>
    <row r="426" spans="1:12" x14ac:dyDescent="0.3">
      <c r="A426" t="s">
        <v>483</v>
      </c>
      <c r="B426" s="2">
        <v>45727</v>
      </c>
      <c r="C426" t="s">
        <v>63</v>
      </c>
      <c r="D426" t="s">
        <v>72</v>
      </c>
      <c r="E426" t="s">
        <v>20</v>
      </c>
      <c r="F426" t="s">
        <v>21</v>
      </c>
      <c r="G426" t="s">
        <v>22</v>
      </c>
      <c r="H426">
        <v>4</v>
      </c>
      <c r="I426">
        <v>15000</v>
      </c>
      <c r="J426">
        <f t="shared" si="12"/>
        <v>60000</v>
      </c>
      <c r="K426">
        <f>J426*0.73</f>
        <v>43800</v>
      </c>
      <c r="L426">
        <f t="shared" si="13"/>
        <v>16200</v>
      </c>
    </row>
    <row r="427" spans="1:12" x14ac:dyDescent="0.3">
      <c r="A427" t="s">
        <v>484</v>
      </c>
      <c r="B427" s="2">
        <v>45902</v>
      </c>
      <c r="C427" t="s">
        <v>13</v>
      </c>
      <c r="D427" t="s">
        <v>33</v>
      </c>
      <c r="E427" t="s">
        <v>30</v>
      </c>
      <c r="F427" t="s">
        <v>26</v>
      </c>
      <c r="G427" t="s">
        <v>44</v>
      </c>
      <c r="H427">
        <v>7</v>
      </c>
      <c r="I427">
        <v>25000</v>
      </c>
      <c r="J427">
        <f t="shared" si="12"/>
        <v>175000</v>
      </c>
      <c r="K427">
        <f>J427*0.78</f>
        <v>136500</v>
      </c>
      <c r="L427">
        <f t="shared" si="13"/>
        <v>38500</v>
      </c>
    </row>
    <row r="428" spans="1:12" x14ac:dyDescent="0.3">
      <c r="A428" t="s">
        <v>485</v>
      </c>
      <c r="B428" s="2">
        <v>45972</v>
      </c>
      <c r="C428" t="s">
        <v>32</v>
      </c>
      <c r="D428" t="s">
        <v>39</v>
      </c>
      <c r="E428" t="s">
        <v>46</v>
      </c>
      <c r="F428" t="s">
        <v>26</v>
      </c>
      <c r="G428" t="s">
        <v>27</v>
      </c>
      <c r="H428">
        <v>16</v>
      </c>
      <c r="I428">
        <v>45000</v>
      </c>
      <c r="J428">
        <f t="shared" si="12"/>
        <v>720000</v>
      </c>
      <c r="K428">
        <f>J428*0.72</f>
        <v>518400</v>
      </c>
      <c r="L428">
        <f t="shared" si="13"/>
        <v>201600</v>
      </c>
    </row>
    <row r="429" spans="1:12" x14ac:dyDescent="0.3">
      <c r="A429" t="s">
        <v>486</v>
      </c>
      <c r="B429" s="2">
        <v>45888</v>
      </c>
      <c r="C429" t="s">
        <v>57</v>
      </c>
      <c r="D429" t="s">
        <v>33</v>
      </c>
      <c r="E429" t="s">
        <v>15</v>
      </c>
      <c r="F429" t="s">
        <v>16</v>
      </c>
      <c r="G429" t="s">
        <v>36</v>
      </c>
      <c r="H429">
        <v>19</v>
      </c>
      <c r="I429">
        <v>150</v>
      </c>
      <c r="J429">
        <f t="shared" si="12"/>
        <v>2850</v>
      </c>
      <c r="K429">
        <f>J429*0.7</f>
        <v>1994.9999999999998</v>
      </c>
      <c r="L429">
        <f t="shared" si="13"/>
        <v>855.00000000000023</v>
      </c>
    </row>
    <row r="430" spans="1:12" x14ac:dyDescent="0.3">
      <c r="A430" t="s">
        <v>487</v>
      </c>
      <c r="B430" s="2">
        <v>45864</v>
      </c>
      <c r="C430" t="s">
        <v>76</v>
      </c>
      <c r="D430" t="s">
        <v>14</v>
      </c>
      <c r="E430" t="s">
        <v>20</v>
      </c>
      <c r="F430" t="s">
        <v>21</v>
      </c>
      <c r="G430" t="s">
        <v>22</v>
      </c>
      <c r="H430">
        <v>8</v>
      </c>
      <c r="I430">
        <v>15000</v>
      </c>
      <c r="J430">
        <f t="shared" si="12"/>
        <v>120000</v>
      </c>
      <c r="K430">
        <f>J430*0.81</f>
        <v>97200</v>
      </c>
      <c r="L430">
        <f t="shared" si="13"/>
        <v>22800</v>
      </c>
    </row>
    <row r="431" spans="1:12" x14ac:dyDescent="0.3">
      <c r="A431" t="s">
        <v>488</v>
      </c>
      <c r="B431" s="2">
        <v>45765</v>
      </c>
      <c r="C431" t="s">
        <v>59</v>
      </c>
      <c r="D431" t="s">
        <v>14</v>
      </c>
      <c r="E431" t="s">
        <v>46</v>
      </c>
      <c r="F431" t="s">
        <v>16</v>
      </c>
      <c r="G431" t="s">
        <v>36</v>
      </c>
      <c r="H431">
        <v>2</v>
      </c>
      <c r="I431">
        <v>150</v>
      </c>
      <c r="J431">
        <f t="shared" si="12"/>
        <v>300</v>
      </c>
      <c r="K431">
        <f>J431*0.76</f>
        <v>228</v>
      </c>
      <c r="L431">
        <f t="shared" si="13"/>
        <v>72</v>
      </c>
    </row>
    <row r="432" spans="1:12" x14ac:dyDescent="0.3">
      <c r="A432" t="s">
        <v>489</v>
      </c>
      <c r="B432" s="2">
        <v>45706</v>
      </c>
      <c r="C432" t="s">
        <v>50</v>
      </c>
      <c r="D432" t="s">
        <v>25</v>
      </c>
      <c r="E432" t="s">
        <v>35</v>
      </c>
      <c r="F432" t="s">
        <v>21</v>
      </c>
      <c r="G432" t="s">
        <v>40</v>
      </c>
      <c r="H432">
        <v>14</v>
      </c>
      <c r="I432">
        <v>5000</v>
      </c>
      <c r="J432">
        <f t="shared" si="12"/>
        <v>70000</v>
      </c>
      <c r="K432">
        <f>J432*0.82</f>
        <v>57400</v>
      </c>
      <c r="L432">
        <f t="shared" si="13"/>
        <v>12600</v>
      </c>
    </row>
    <row r="433" spans="1:12" x14ac:dyDescent="0.3">
      <c r="A433" t="s">
        <v>490</v>
      </c>
      <c r="B433" s="2">
        <v>45895</v>
      </c>
      <c r="C433" t="s">
        <v>57</v>
      </c>
      <c r="D433" t="s">
        <v>14</v>
      </c>
      <c r="E433" t="s">
        <v>30</v>
      </c>
      <c r="F433" t="s">
        <v>26</v>
      </c>
      <c r="G433" t="s">
        <v>127</v>
      </c>
      <c r="H433">
        <v>2</v>
      </c>
      <c r="I433">
        <v>1500</v>
      </c>
      <c r="J433">
        <f t="shared" si="12"/>
        <v>3000</v>
      </c>
      <c r="K433">
        <f>J433*0.81</f>
        <v>2430</v>
      </c>
      <c r="L433">
        <f t="shared" si="13"/>
        <v>570</v>
      </c>
    </row>
    <row r="434" spans="1:12" x14ac:dyDescent="0.3">
      <c r="A434" t="s">
        <v>491</v>
      </c>
      <c r="B434" s="2">
        <v>45798</v>
      </c>
      <c r="C434" t="s">
        <v>48</v>
      </c>
      <c r="D434" t="s">
        <v>19</v>
      </c>
      <c r="E434" t="s">
        <v>30</v>
      </c>
      <c r="F434" t="s">
        <v>21</v>
      </c>
      <c r="G434" t="s">
        <v>40</v>
      </c>
      <c r="H434">
        <v>3</v>
      </c>
      <c r="I434">
        <v>5000</v>
      </c>
      <c r="J434">
        <f t="shared" si="12"/>
        <v>15000</v>
      </c>
      <c r="K434">
        <f>J434*0.7</f>
        <v>10500</v>
      </c>
      <c r="L434">
        <f t="shared" si="13"/>
        <v>4500</v>
      </c>
    </row>
    <row r="435" spans="1:12" x14ac:dyDescent="0.3">
      <c r="A435" t="s">
        <v>492</v>
      </c>
      <c r="B435" s="2">
        <v>45728</v>
      </c>
      <c r="C435" t="s">
        <v>63</v>
      </c>
      <c r="D435" t="s">
        <v>39</v>
      </c>
      <c r="E435" t="s">
        <v>20</v>
      </c>
      <c r="F435" t="s">
        <v>21</v>
      </c>
      <c r="G435" t="s">
        <v>65</v>
      </c>
      <c r="H435">
        <v>7</v>
      </c>
      <c r="I435">
        <v>22000</v>
      </c>
      <c r="J435">
        <f t="shared" si="12"/>
        <v>154000</v>
      </c>
      <c r="K435">
        <f>J435*0.85</f>
        <v>130900</v>
      </c>
      <c r="L435">
        <f t="shared" si="13"/>
        <v>23100</v>
      </c>
    </row>
    <row r="436" spans="1:12" x14ac:dyDescent="0.3">
      <c r="A436" t="s">
        <v>493</v>
      </c>
      <c r="B436" s="2">
        <v>45809</v>
      </c>
      <c r="C436" t="s">
        <v>43</v>
      </c>
      <c r="D436" t="s">
        <v>64</v>
      </c>
      <c r="E436" t="s">
        <v>20</v>
      </c>
      <c r="F436" t="s">
        <v>16</v>
      </c>
      <c r="G436" t="s">
        <v>17</v>
      </c>
      <c r="H436">
        <v>5</v>
      </c>
      <c r="I436">
        <v>300</v>
      </c>
      <c r="J436">
        <f t="shared" si="12"/>
        <v>1500</v>
      </c>
      <c r="K436">
        <f>J436*0.71</f>
        <v>1065</v>
      </c>
      <c r="L436">
        <f t="shared" si="13"/>
        <v>435</v>
      </c>
    </row>
    <row r="437" spans="1:12" x14ac:dyDescent="0.3">
      <c r="A437" t="s">
        <v>494</v>
      </c>
      <c r="B437" s="2">
        <v>45663</v>
      </c>
      <c r="C437" t="s">
        <v>29</v>
      </c>
      <c r="D437" t="s">
        <v>86</v>
      </c>
      <c r="E437" t="s">
        <v>46</v>
      </c>
      <c r="F437" t="s">
        <v>21</v>
      </c>
      <c r="G437" t="s">
        <v>40</v>
      </c>
      <c r="H437">
        <v>11</v>
      </c>
      <c r="I437">
        <v>5000</v>
      </c>
      <c r="J437">
        <f t="shared" si="12"/>
        <v>55000</v>
      </c>
      <c r="K437">
        <f>J437*0.72</f>
        <v>39600</v>
      </c>
      <c r="L437">
        <f t="shared" si="13"/>
        <v>15400</v>
      </c>
    </row>
    <row r="438" spans="1:12" x14ac:dyDescent="0.3">
      <c r="A438" t="s">
        <v>495</v>
      </c>
      <c r="B438" s="2">
        <v>45911</v>
      </c>
      <c r="C438" t="s">
        <v>13</v>
      </c>
      <c r="D438" t="s">
        <v>14</v>
      </c>
      <c r="E438" t="s">
        <v>46</v>
      </c>
      <c r="F438" t="s">
        <v>21</v>
      </c>
      <c r="G438" t="s">
        <v>22</v>
      </c>
      <c r="H438">
        <v>14</v>
      </c>
      <c r="I438">
        <v>15000</v>
      </c>
      <c r="J438">
        <f t="shared" si="12"/>
        <v>210000</v>
      </c>
      <c r="K438">
        <f>J438*0.84</f>
        <v>176400</v>
      </c>
      <c r="L438">
        <f t="shared" si="13"/>
        <v>33600</v>
      </c>
    </row>
    <row r="439" spans="1:12" x14ac:dyDescent="0.3">
      <c r="A439" t="s">
        <v>496</v>
      </c>
      <c r="B439" s="2">
        <v>45955</v>
      </c>
      <c r="C439" t="s">
        <v>38</v>
      </c>
      <c r="D439" t="s">
        <v>51</v>
      </c>
      <c r="E439" t="s">
        <v>15</v>
      </c>
      <c r="F439" t="s">
        <v>16</v>
      </c>
      <c r="G439" t="s">
        <v>78</v>
      </c>
      <c r="H439">
        <v>11</v>
      </c>
      <c r="I439">
        <v>800</v>
      </c>
      <c r="J439">
        <f t="shared" si="12"/>
        <v>8800</v>
      </c>
      <c r="K439">
        <f>J439*0.82</f>
        <v>7216</v>
      </c>
      <c r="L439">
        <f t="shared" si="13"/>
        <v>1584</v>
      </c>
    </row>
    <row r="440" spans="1:12" x14ac:dyDescent="0.3">
      <c r="A440" t="s">
        <v>497</v>
      </c>
      <c r="B440" s="2">
        <v>45813</v>
      </c>
      <c r="C440" t="s">
        <v>43</v>
      </c>
      <c r="D440" t="s">
        <v>51</v>
      </c>
      <c r="E440" t="s">
        <v>30</v>
      </c>
      <c r="F440" t="s">
        <v>21</v>
      </c>
      <c r="G440" t="s">
        <v>40</v>
      </c>
      <c r="H440">
        <v>12</v>
      </c>
      <c r="I440">
        <v>5000</v>
      </c>
      <c r="J440">
        <f t="shared" si="12"/>
        <v>60000</v>
      </c>
      <c r="K440">
        <f>J440*0.82</f>
        <v>49200</v>
      </c>
      <c r="L440">
        <f t="shared" si="13"/>
        <v>10800</v>
      </c>
    </row>
    <row r="441" spans="1:12" x14ac:dyDescent="0.3">
      <c r="A441" t="s">
        <v>498</v>
      </c>
      <c r="B441" s="2">
        <v>45713</v>
      </c>
      <c r="C441" t="s">
        <v>50</v>
      </c>
      <c r="D441" t="s">
        <v>14</v>
      </c>
      <c r="E441" t="s">
        <v>20</v>
      </c>
      <c r="F441" t="s">
        <v>16</v>
      </c>
      <c r="G441" t="s">
        <v>17</v>
      </c>
      <c r="H441">
        <v>12</v>
      </c>
      <c r="I441">
        <v>300</v>
      </c>
      <c r="J441">
        <f t="shared" si="12"/>
        <v>3600</v>
      </c>
      <c r="K441">
        <f>J441*0.84</f>
        <v>3024</v>
      </c>
      <c r="L441">
        <f t="shared" si="13"/>
        <v>576</v>
      </c>
    </row>
    <row r="442" spans="1:12" x14ac:dyDescent="0.3">
      <c r="A442" t="s">
        <v>499</v>
      </c>
      <c r="B442" s="2">
        <v>45921</v>
      </c>
      <c r="C442" t="s">
        <v>13</v>
      </c>
      <c r="D442" t="s">
        <v>51</v>
      </c>
      <c r="E442" t="s">
        <v>30</v>
      </c>
      <c r="F442" t="s">
        <v>16</v>
      </c>
      <c r="G442" t="s">
        <v>92</v>
      </c>
      <c r="H442">
        <v>7</v>
      </c>
      <c r="I442">
        <v>1200</v>
      </c>
      <c r="J442">
        <f t="shared" si="12"/>
        <v>8400</v>
      </c>
      <c r="K442">
        <f>J442*0.79</f>
        <v>6636</v>
      </c>
      <c r="L442">
        <f t="shared" si="13"/>
        <v>1764</v>
      </c>
    </row>
    <row r="443" spans="1:12" x14ac:dyDescent="0.3">
      <c r="A443" t="s">
        <v>500</v>
      </c>
      <c r="B443" s="2">
        <v>45724</v>
      </c>
      <c r="C443" t="s">
        <v>63</v>
      </c>
      <c r="D443" t="s">
        <v>64</v>
      </c>
      <c r="E443" t="s">
        <v>35</v>
      </c>
      <c r="F443" t="s">
        <v>21</v>
      </c>
      <c r="G443" t="s">
        <v>54</v>
      </c>
      <c r="H443">
        <v>7</v>
      </c>
      <c r="I443">
        <v>18000</v>
      </c>
      <c r="J443">
        <f t="shared" si="12"/>
        <v>126000</v>
      </c>
      <c r="K443">
        <f>J443*0.74</f>
        <v>93240</v>
      </c>
      <c r="L443">
        <f t="shared" si="13"/>
        <v>32760</v>
      </c>
    </row>
    <row r="444" spans="1:12" x14ac:dyDescent="0.3">
      <c r="A444" t="s">
        <v>501</v>
      </c>
      <c r="B444" s="2">
        <v>45899</v>
      </c>
      <c r="C444" t="s">
        <v>57</v>
      </c>
      <c r="D444" t="s">
        <v>33</v>
      </c>
      <c r="E444" t="s">
        <v>30</v>
      </c>
      <c r="F444" t="s">
        <v>16</v>
      </c>
      <c r="G444" t="s">
        <v>92</v>
      </c>
      <c r="H444">
        <v>8</v>
      </c>
      <c r="I444">
        <v>1200</v>
      </c>
      <c r="J444">
        <f t="shared" si="12"/>
        <v>9600</v>
      </c>
      <c r="K444">
        <f>J444*0.84</f>
        <v>8064</v>
      </c>
      <c r="L444">
        <f t="shared" si="13"/>
        <v>1536</v>
      </c>
    </row>
    <row r="445" spans="1:12" x14ac:dyDescent="0.3">
      <c r="A445" t="s">
        <v>502</v>
      </c>
      <c r="B445" s="2">
        <v>45696</v>
      </c>
      <c r="C445" t="s">
        <v>50</v>
      </c>
      <c r="D445" t="s">
        <v>64</v>
      </c>
      <c r="E445" t="s">
        <v>30</v>
      </c>
      <c r="F445" t="s">
        <v>26</v>
      </c>
      <c r="G445" t="s">
        <v>52</v>
      </c>
      <c r="H445">
        <v>8</v>
      </c>
      <c r="I445">
        <v>35000</v>
      </c>
      <c r="J445">
        <f t="shared" si="12"/>
        <v>280000</v>
      </c>
      <c r="K445">
        <f>J445*0.74</f>
        <v>207200</v>
      </c>
      <c r="L445">
        <f t="shared" si="13"/>
        <v>72800</v>
      </c>
    </row>
    <row r="446" spans="1:12" x14ac:dyDescent="0.3">
      <c r="A446" t="s">
        <v>503</v>
      </c>
      <c r="B446" s="2">
        <v>45961</v>
      </c>
      <c r="C446" t="s">
        <v>38</v>
      </c>
      <c r="D446" t="s">
        <v>39</v>
      </c>
      <c r="E446" t="s">
        <v>20</v>
      </c>
      <c r="F446" t="s">
        <v>21</v>
      </c>
      <c r="G446" t="s">
        <v>22</v>
      </c>
      <c r="H446">
        <v>4</v>
      </c>
      <c r="I446">
        <v>15000</v>
      </c>
      <c r="J446">
        <f t="shared" si="12"/>
        <v>60000</v>
      </c>
      <c r="K446">
        <f>J446*0.81</f>
        <v>48600</v>
      </c>
      <c r="L446">
        <f t="shared" si="13"/>
        <v>11400</v>
      </c>
    </row>
    <row r="447" spans="1:12" x14ac:dyDescent="0.3">
      <c r="A447" t="s">
        <v>504</v>
      </c>
      <c r="B447" s="2">
        <v>45863</v>
      </c>
      <c r="C447" t="s">
        <v>76</v>
      </c>
      <c r="D447" t="s">
        <v>64</v>
      </c>
      <c r="E447" t="s">
        <v>20</v>
      </c>
      <c r="F447" t="s">
        <v>26</v>
      </c>
      <c r="G447" t="s">
        <v>94</v>
      </c>
      <c r="H447">
        <v>14</v>
      </c>
      <c r="I447">
        <v>28000</v>
      </c>
      <c r="J447">
        <f t="shared" si="12"/>
        <v>392000</v>
      </c>
      <c r="K447">
        <f>J447*0.76</f>
        <v>297920</v>
      </c>
      <c r="L447">
        <f t="shared" si="13"/>
        <v>94080</v>
      </c>
    </row>
    <row r="448" spans="1:12" x14ac:dyDescent="0.3">
      <c r="A448" t="s">
        <v>505</v>
      </c>
      <c r="B448" s="2">
        <v>45825</v>
      </c>
      <c r="C448" t="s">
        <v>43</v>
      </c>
      <c r="D448" t="s">
        <v>86</v>
      </c>
      <c r="E448" t="s">
        <v>20</v>
      </c>
      <c r="F448" t="s">
        <v>21</v>
      </c>
      <c r="G448" t="s">
        <v>65</v>
      </c>
      <c r="H448">
        <v>8</v>
      </c>
      <c r="I448">
        <v>22000</v>
      </c>
      <c r="J448">
        <f t="shared" si="12"/>
        <v>176000</v>
      </c>
      <c r="K448">
        <f>J448*0.77</f>
        <v>135520</v>
      </c>
      <c r="L448">
        <f t="shared" si="13"/>
        <v>40480</v>
      </c>
    </row>
    <row r="449" spans="1:12" x14ac:dyDescent="0.3">
      <c r="A449" t="s">
        <v>506</v>
      </c>
      <c r="B449" s="2">
        <v>45920</v>
      </c>
      <c r="C449" t="s">
        <v>13</v>
      </c>
      <c r="D449" t="s">
        <v>51</v>
      </c>
      <c r="E449" t="s">
        <v>46</v>
      </c>
      <c r="F449" t="s">
        <v>26</v>
      </c>
      <c r="G449" t="s">
        <v>44</v>
      </c>
      <c r="H449">
        <v>2</v>
      </c>
      <c r="I449">
        <v>25000</v>
      </c>
      <c r="J449">
        <f t="shared" si="12"/>
        <v>50000</v>
      </c>
      <c r="K449">
        <f>J449*0.81</f>
        <v>40500</v>
      </c>
      <c r="L449">
        <f t="shared" si="13"/>
        <v>9500</v>
      </c>
    </row>
    <row r="450" spans="1:12" x14ac:dyDescent="0.3">
      <c r="A450" t="s">
        <v>507</v>
      </c>
      <c r="B450" s="2">
        <v>45982</v>
      </c>
      <c r="C450" t="s">
        <v>32</v>
      </c>
      <c r="D450" t="s">
        <v>25</v>
      </c>
      <c r="E450" t="s">
        <v>46</v>
      </c>
      <c r="F450" t="s">
        <v>21</v>
      </c>
      <c r="G450" t="s">
        <v>40</v>
      </c>
      <c r="H450">
        <v>9</v>
      </c>
      <c r="I450">
        <v>5000</v>
      </c>
      <c r="J450">
        <f t="shared" ref="J450:J513" si="14">H450*I450</f>
        <v>45000</v>
      </c>
      <c r="K450">
        <f>J450*0.76</f>
        <v>34200</v>
      </c>
      <c r="L450">
        <f t="shared" ref="L450:L513" si="15">J450-K450</f>
        <v>10800</v>
      </c>
    </row>
    <row r="451" spans="1:12" x14ac:dyDescent="0.3">
      <c r="A451" t="s">
        <v>508</v>
      </c>
      <c r="B451" s="2">
        <v>45977</v>
      </c>
      <c r="C451" t="s">
        <v>32</v>
      </c>
      <c r="D451" t="s">
        <v>14</v>
      </c>
      <c r="E451" t="s">
        <v>20</v>
      </c>
      <c r="F451" t="s">
        <v>21</v>
      </c>
      <c r="G451" t="s">
        <v>74</v>
      </c>
      <c r="H451">
        <v>15</v>
      </c>
      <c r="I451">
        <v>12000</v>
      </c>
      <c r="J451">
        <f t="shared" si="14"/>
        <v>180000</v>
      </c>
      <c r="K451">
        <f>J451*0.73</f>
        <v>131400</v>
      </c>
      <c r="L451">
        <f t="shared" si="15"/>
        <v>48600</v>
      </c>
    </row>
    <row r="452" spans="1:12" x14ac:dyDescent="0.3">
      <c r="A452" t="s">
        <v>509</v>
      </c>
      <c r="B452" s="2">
        <v>45915</v>
      </c>
      <c r="C452" t="s">
        <v>13</v>
      </c>
      <c r="D452" t="s">
        <v>39</v>
      </c>
      <c r="E452" t="s">
        <v>20</v>
      </c>
      <c r="F452" t="s">
        <v>21</v>
      </c>
      <c r="G452" t="s">
        <v>74</v>
      </c>
      <c r="H452">
        <v>18</v>
      </c>
      <c r="I452">
        <v>12000</v>
      </c>
      <c r="J452">
        <f t="shared" si="14"/>
        <v>216000</v>
      </c>
      <c r="K452">
        <f>J452*0.75</f>
        <v>162000</v>
      </c>
      <c r="L452">
        <f t="shared" si="15"/>
        <v>54000</v>
      </c>
    </row>
    <row r="453" spans="1:12" x14ac:dyDescent="0.3">
      <c r="A453" t="s">
        <v>510</v>
      </c>
      <c r="B453" s="2">
        <v>45747</v>
      </c>
      <c r="C453" t="s">
        <v>63</v>
      </c>
      <c r="D453" t="s">
        <v>25</v>
      </c>
      <c r="E453" t="s">
        <v>30</v>
      </c>
      <c r="F453" t="s">
        <v>26</v>
      </c>
      <c r="G453" t="s">
        <v>44</v>
      </c>
      <c r="H453">
        <v>10</v>
      </c>
      <c r="I453">
        <v>25000</v>
      </c>
      <c r="J453">
        <f t="shared" si="14"/>
        <v>250000</v>
      </c>
      <c r="K453">
        <f>J453*0.85</f>
        <v>212500</v>
      </c>
      <c r="L453">
        <f t="shared" si="15"/>
        <v>37500</v>
      </c>
    </row>
    <row r="454" spans="1:12" x14ac:dyDescent="0.3">
      <c r="A454" t="s">
        <v>511</v>
      </c>
      <c r="B454" s="2">
        <v>45681</v>
      </c>
      <c r="C454" t="s">
        <v>29</v>
      </c>
      <c r="D454" t="s">
        <v>14</v>
      </c>
      <c r="E454" t="s">
        <v>30</v>
      </c>
      <c r="F454" t="s">
        <v>26</v>
      </c>
      <c r="G454" t="s">
        <v>44</v>
      </c>
      <c r="H454">
        <v>10</v>
      </c>
      <c r="I454">
        <v>25000</v>
      </c>
      <c r="J454">
        <f t="shared" si="14"/>
        <v>250000</v>
      </c>
      <c r="K454">
        <f>J454*0.7</f>
        <v>175000</v>
      </c>
      <c r="L454">
        <f t="shared" si="15"/>
        <v>75000</v>
      </c>
    </row>
    <row r="455" spans="1:12" x14ac:dyDescent="0.3">
      <c r="A455" t="s">
        <v>512</v>
      </c>
      <c r="B455" s="2">
        <v>45752</v>
      </c>
      <c r="C455" t="s">
        <v>59</v>
      </c>
      <c r="D455" t="s">
        <v>25</v>
      </c>
      <c r="E455" t="s">
        <v>30</v>
      </c>
      <c r="F455" t="s">
        <v>26</v>
      </c>
      <c r="G455" t="s">
        <v>127</v>
      </c>
      <c r="H455">
        <v>10</v>
      </c>
      <c r="I455">
        <v>1500</v>
      </c>
      <c r="J455">
        <f t="shared" si="14"/>
        <v>15000</v>
      </c>
      <c r="K455">
        <f>J455*0.76</f>
        <v>11400</v>
      </c>
      <c r="L455">
        <f t="shared" si="15"/>
        <v>3600</v>
      </c>
    </row>
    <row r="456" spans="1:12" x14ac:dyDescent="0.3">
      <c r="A456" t="s">
        <v>513</v>
      </c>
      <c r="B456" s="2">
        <v>45666</v>
      </c>
      <c r="C456" t="s">
        <v>29</v>
      </c>
      <c r="D456" t="s">
        <v>19</v>
      </c>
      <c r="E456" t="s">
        <v>20</v>
      </c>
      <c r="F456" t="s">
        <v>21</v>
      </c>
      <c r="G456" t="s">
        <v>22</v>
      </c>
      <c r="H456">
        <v>17</v>
      </c>
      <c r="I456">
        <v>15000</v>
      </c>
      <c r="J456">
        <f t="shared" si="14"/>
        <v>255000</v>
      </c>
      <c r="K456">
        <f>J456*0.85</f>
        <v>216750</v>
      </c>
      <c r="L456">
        <f t="shared" si="15"/>
        <v>38250</v>
      </c>
    </row>
    <row r="457" spans="1:12" x14ac:dyDescent="0.3">
      <c r="A457" t="s">
        <v>514</v>
      </c>
      <c r="B457" s="2">
        <v>45945</v>
      </c>
      <c r="C457" t="s">
        <v>38</v>
      </c>
      <c r="D457" t="s">
        <v>83</v>
      </c>
      <c r="E457" t="s">
        <v>20</v>
      </c>
      <c r="F457" t="s">
        <v>26</v>
      </c>
      <c r="G457" t="s">
        <v>127</v>
      </c>
      <c r="H457">
        <v>9</v>
      </c>
      <c r="I457">
        <v>1500</v>
      </c>
      <c r="J457">
        <f t="shared" si="14"/>
        <v>13500</v>
      </c>
      <c r="K457">
        <f>J457*0.83</f>
        <v>11205</v>
      </c>
      <c r="L457">
        <f t="shared" si="15"/>
        <v>2295</v>
      </c>
    </row>
    <row r="458" spans="1:12" x14ac:dyDescent="0.3">
      <c r="A458" t="s">
        <v>515</v>
      </c>
      <c r="B458" s="2">
        <v>45706</v>
      </c>
      <c r="C458" t="s">
        <v>50</v>
      </c>
      <c r="D458" t="s">
        <v>25</v>
      </c>
      <c r="E458" t="s">
        <v>35</v>
      </c>
      <c r="F458" t="s">
        <v>16</v>
      </c>
      <c r="G458" t="s">
        <v>92</v>
      </c>
      <c r="H458">
        <v>10</v>
      </c>
      <c r="I458">
        <v>1200</v>
      </c>
      <c r="J458">
        <f t="shared" si="14"/>
        <v>12000</v>
      </c>
      <c r="K458">
        <f>J458*0.73</f>
        <v>8760</v>
      </c>
      <c r="L458">
        <f t="shared" si="15"/>
        <v>3240</v>
      </c>
    </row>
    <row r="459" spans="1:12" x14ac:dyDescent="0.3">
      <c r="A459" t="s">
        <v>516</v>
      </c>
      <c r="B459" s="2">
        <v>45724</v>
      </c>
      <c r="C459" t="s">
        <v>63</v>
      </c>
      <c r="D459" t="s">
        <v>86</v>
      </c>
      <c r="E459" t="s">
        <v>15</v>
      </c>
      <c r="F459" t="s">
        <v>26</v>
      </c>
      <c r="G459" t="s">
        <v>111</v>
      </c>
      <c r="H459">
        <v>17</v>
      </c>
      <c r="I459">
        <v>85000</v>
      </c>
      <c r="J459">
        <f t="shared" si="14"/>
        <v>1445000</v>
      </c>
      <c r="K459">
        <f>J459*0.71</f>
        <v>1025950</v>
      </c>
      <c r="L459">
        <f t="shared" si="15"/>
        <v>419050</v>
      </c>
    </row>
    <row r="460" spans="1:12" x14ac:dyDescent="0.3">
      <c r="A460" t="s">
        <v>517</v>
      </c>
      <c r="B460" s="2">
        <v>45853</v>
      </c>
      <c r="C460" t="s">
        <v>76</v>
      </c>
      <c r="D460" t="s">
        <v>14</v>
      </c>
      <c r="E460" t="s">
        <v>20</v>
      </c>
      <c r="F460" t="s">
        <v>16</v>
      </c>
      <c r="G460" t="s">
        <v>92</v>
      </c>
      <c r="H460">
        <v>20</v>
      </c>
      <c r="I460">
        <v>1200</v>
      </c>
      <c r="J460">
        <f t="shared" si="14"/>
        <v>24000</v>
      </c>
      <c r="K460">
        <f>J460*0.78</f>
        <v>18720</v>
      </c>
      <c r="L460">
        <f t="shared" si="15"/>
        <v>5280</v>
      </c>
    </row>
    <row r="461" spans="1:12" x14ac:dyDescent="0.3">
      <c r="A461" t="s">
        <v>518</v>
      </c>
      <c r="B461" s="2">
        <v>45813</v>
      </c>
      <c r="C461" t="s">
        <v>43</v>
      </c>
      <c r="D461" t="s">
        <v>86</v>
      </c>
      <c r="E461" t="s">
        <v>46</v>
      </c>
      <c r="F461" t="s">
        <v>26</v>
      </c>
      <c r="G461" t="s">
        <v>69</v>
      </c>
      <c r="H461">
        <v>4</v>
      </c>
      <c r="I461">
        <v>2500</v>
      </c>
      <c r="J461">
        <f t="shared" si="14"/>
        <v>10000</v>
      </c>
      <c r="K461">
        <f>J461*0.81</f>
        <v>8100.0000000000009</v>
      </c>
      <c r="L461">
        <f t="shared" si="15"/>
        <v>1899.9999999999991</v>
      </c>
    </row>
    <row r="462" spans="1:12" x14ac:dyDescent="0.3">
      <c r="A462" t="s">
        <v>519</v>
      </c>
      <c r="B462" s="2">
        <v>45879</v>
      </c>
      <c r="C462" t="s">
        <v>57</v>
      </c>
      <c r="D462" t="s">
        <v>83</v>
      </c>
      <c r="E462" t="s">
        <v>20</v>
      </c>
      <c r="F462" t="s">
        <v>21</v>
      </c>
      <c r="G462" t="s">
        <v>65</v>
      </c>
      <c r="H462">
        <v>5</v>
      </c>
      <c r="I462">
        <v>22000</v>
      </c>
      <c r="J462">
        <f t="shared" si="14"/>
        <v>110000</v>
      </c>
      <c r="K462">
        <f>J462*0.8</f>
        <v>88000</v>
      </c>
      <c r="L462">
        <f t="shared" si="15"/>
        <v>22000</v>
      </c>
    </row>
    <row r="463" spans="1:12" x14ac:dyDescent="0.3">
      <c r="A463" t="s">
        <v>520</v>
      </c>
      <c r="B463" s="2">
        <v>45851</v>
      </c>
      <c r="C463" t="s">
        <v>76</v>
      </c>
      <c r="D463" t="s">
        <v>51</v>
      </c>
      <c r="E463" t="s">
        <v>20</v>
      </c>
      <c r="F463" t="s">
        <v>16</v>
      </c>
      <c r="G463" t="s">
        <v>60</v>
      </c>
      <c r="H463">
        <v>1</v>
      </c>
      <c r="I463">
        <v>250</v>
      </c>
      <c r="J463">
        <f t="shared" si="14"/>
        <v>250</v>
      </c>
      <c r="K463">
        <f>J463*0.78</f>
        <v>195</v>
      </c>
      <c r="L463">
        <f t="shared" si="15"/>
        <v>55</v>
      </c>
    </row>
    <row r="464" spans="1:12" x14ac:dyDescent="0.3">
      <c r="A464" t="s">
        <v>521</v>
      </c>
      <c r="B464" s="2">
        <v>45815</v>
      </c>
      <c r="C464" t="s">
        <v>43</v>
      </c>
      <c r="D464" t="s">
        <v>25</v>
      </c>
      <c r="E464" t="s">
        <v>35</v>
      </c>
      <c r="F464" t="s">
        <v>26</v>
      </c>
      <c r="G464" t="s">
        <v>94</v>
      </c>
      <c r="H464">
        <v>15</v>
      </c>
      <c r="I464">
        <v>28000</v>
      </c>
      <c r="J464">
        <f t="shared" si="14"/>
        <v>420000</v>
      </c>
      <c r="K464">
        <f>J464*0.81</f>
        <v>340200</v>
      </c>
      <c r="L464">
        <f t="shared" si="15"/>
        <v>79800</v>
      </c>
    </row>
    <row r="465" spans="1:12" x14ac:dyDescent="0.3">
      <c r="A465" t="s">
        <v>522</v>
      </c>
      <c r="B465" s="2">
        <v>46007</v>
      </c>
      <c r="C465" t="s">
        <v>24</v>
      </c>
      <c r="D465" t="s">
        <v>86</v>
      </c>
      <c r="E465" t="s">
        <v>46</v>
      </c>
      <c r="F465" t="s">
        <v>16</v>
      </c>
      <c r="G465" t="s">
        <v>60</v>
      </c>
      <c r="H465">
        <v>16</v>
      </c>
      <c r="I465">
        <v>250</v>
      </c>
      <c r="J465">
        <f t="shared" si="14"/>
        <v>4000</v>
      </c>
      <c r="K465">
        <f>J465*0.73</f>
        <v>2920</v>
      </c>
      <c r="L465">
        <f t="shared" si="15"/>
        <v>1080</v>
      </c>
    </row>
    <row r="466" spans="1:12" x14ac:dyDescent="0.3">
      <c r="A466" t="s">
        <v>523</v>
      </c>
      <c r="B466" s="2">
        <v>45937</v>
      </c>
      <c r="C466" t="s">
        <v>38</v>
      </c>
      <c r="D466" t="s">
        <v>83</v>
      </c>
      <c r="E466" t="s">
        <v>30</v>
      </c>
      <c r="F466" t="s">
        <v>21</v>
      </c>
      <c r="G466" t="s">
        <v>40</v>
      </c>
      <c r="H466">
        <v>16</v>
      </c>
      <c r="I466">
        <v>5000</v>
      </c>
      <c r="J466">
        <f t="shared" si="14"/>
        <v>80000</v>
      </c>
      <c r="K466">
        <f>J466*0.73</f>
        <v>58400</v>
      </c>
      <c r="L466">
        <f t="shared" si="15"/>
        <v>21600</v>
      </c>
    </row>
    <row r="467" spans="1:12" x14ac:dyDescent="0.3">
      <c r="A467" t="s">
        <v>524</v>
      </c>
      <c r="B467" s="2">
        <v>45850</v>
      </c>
      <c r="C467" t="s">
        <v>76</v>
      </c>
      <c r="D467" t="s">
        <v>14</v>
      </c>
      <c r="E467" t="s">
        <v>15</v>
      </c>
      <c r="F467" t="s">
        <v>26</v>
      </c>
      <c r="G467" t="s">
        <v>69</v>
      </c>
      <c r="H467">
        <v>12</v>
      </c>
      <c r="I467">
        <v>2500</v>
      </c>
      <c r="J467">
        <f t="shared" si="14"/>
        <v>30000</v>
      </c>
      <c r="K467">
        <f>J467*0.75</f>
        <v>22500</v>
      </c>
      <c r="L467">
        <f t="shared" si="15"/>
        <v>7500</v>
      </c>
    </row>
    <row r="468" spans="1:12" x14ac:dyDescent="0.3">
      <c r="A468" t="s">
        <v>525</v>
      </c>
      <c r="B468" s="2">
        <v>45932</v>
      </c>
      <c r="C468" t="s">
        <v>38</v>
      </c>
      <c r="D468" t="s">
        <v>25</v>
      </c>
      <c r="E468" t="s">
        <v>46</v>
      </c>
      <c r="F468" t="s">
        <v>21</v>
      </c>
      <c r="G468" t="s">
        <v>40</v>
      </c>
      <c r="H468">
        <v>17</v>
      </c>
      <c r="I468">
        <v>5000</v>
      </c>
      <c r="J468">
        <f t="shared" si="14"/>
        <v>85000</v>
      </c>
      <c r="K468">
        <f>J468*0.76</f>
        <v>64600</v>
      </c>
      <c r="L468">
        <f t="shared" si="15"/>
        <v>20400</v>
      </c>
    </row>
    <row r="469" spans="1:12" x14ac:dyDescent="0.3">
      <c r="A469" t="s">
        <v>526</v>
      </c>
      <c r="B469" s="2">
        <v>45772</v>
      </c>
      <c r="C469" t="s">
        <v>59</v>
      </c>
      <c r="D469" t="s">
        <v>33</v>
      </c>
      <c r="E469" t="s">
        <v>30</v>
      </c>
      <c r="F469" t="s">
        <v>21</v>
      </c>
      <c r="G469" t="s">
        <v>74</v>
      </c>
      <c r="H469">
        <v>3</v>
      </c>
      <c r="I469">
        <v>12000</v>
      </c>
      <c r="J469">
        <f t="shared" si="14"/>
        <v>36000</v>
      </c>
      <c r="K469">
        <f>J469*0.74</f>
        <v>26640</v>
      </c>
      <c r="L469">
        <f t="shared" si="15"/>
        <v>9360</v>
      </c>
    </row>
    <row r="470" spans="1:12" x14ac:dyDescent="0.3">
      <c r="A470" t="s">
        <v>527</v>
      </c>
      <c r="B470" s="2">
        <v>45811</v>
      </c>
      <c r="C470" t="s">
        <v>43</v>
      </c>
      <c r="D470" t="s">
        <v>25</v>
      </c>
      <c r="E470" t="s">
        <v>35</v>
      </c>
      <c r="F470" t="s">
        <v>26</v>
      </c>
      <c r="G470" t="s">
        <v>127</v>
      </c>
      <c r="H470">
        <v>8</v>
      </c>
      <c r="I470">
        <v>1500</v>
      </c>
      <c r="J470">
        <f t="shared" si="14"/>
        <v>12000</v>
      </c>
      <c r="K470">
        <f>J470*0.79</f>
        <v>9480</v>
      </c>
      <c r="L470">
        <f t="shared" si="15"/>
        <v>2520</v>
      </c>
    </row>
    <row r="471" spans="1:12" x14ac:dyDescent="0.3">
      <c r="A471" t="s">
        <v>528</v>
      </c>
      <c r="B471" s="2">
        <v>45939</v>
      </c>
      <c r="C471" t="s">
        <v>38</v>
      </c>
      <c r="D471" t="s">
        <v>25</v>
      </c>
      <c r="E471" t="s">
        <v>20</v>
      </c>
      <c r="F471" t="s">
        <v>21</v>
      </c>
      <c r="G471" t="s">
        <v>22</v>
      </c>
      <c r="H471">
        <v>2</v>
      </c>
      <c r="I471">
        <v>15000</v>
      </c>
      <c r="J471">
        <f t="shared" si="14"/>
        <v>30000</v>
      </c>
      <c r="K471">
        <f>J471*0.79</f>
        <v>23700</v>
      </c>
      <c r="L471">
        <f t="shared" si="15"/>
        <v>6300</v>
      </c>
    </row>
    <row r="472" spans="1:12" x14ac:dyDescent="0.3">
      <c r="A472" t="s">
        <v>529</v>
      </c>
      <c r="B472" s="2">
        <v>45961</v>
      </c>
      <c r="C472" t="s">
        <v>38</v>
      </c>
      <c r="D472" t="s">
        <v>72</v>
      </c>
      <c r="E472" t="s">
        <v>35</v>
      </c>
      <c r="F472" t="s">
        <v>26</v>
      </c>
      <c r="G472" t="s">
        <v>127</v>
      </c>
      <c r="H472">
        <v>8</v>
      </c>
      <c r="I472">
        <v>1500</v>
      </c>
      <c r="J472">
        <f t="shared" si="14"/>
        <v>12000</v>
      </c>
      <c r="K472">
        <f>J472*0.72</f>
        <v>8640</v>
      </c>
      <c r="L472">
        <f t="shared" si="15"/>
        <v>3360</v>
      </c>
    </row>
    <row r="473" spans="1:12" x14ac:dyDescent="0.3">
      <c r="A473" t="s">
        <v>530</v>
      </c>
      <c r="B473" s="2">
        <v>45858</v>
      </c>
      <c r="C473" t="s">
        <v>76</v>
      </c>
      <c r="D473" t="s">
        <v>51</v>
      </c>
      <c r="E473" t="s">
        <v>46</v>
      </c>
      <c r="F473" t="s">
        <v>26</v>
      </c>
      <c r="G473" t="s">
        <v>94</v>
      </c>
      <c r="H473">
        <v>15</v>
      </c>
      <c r="I473">
        <v>28000</v>
      </c>
      <c r="J473">
        <f t="shared" si="14"/>
        <v>420000</v>
      </c>
      <c r="K473">
        <f>J473*0.81</f>
        <v>340200</v>
      </c>
      <c r="L473">
        <f t="shared" si="15"/>
        <v>79800</v>
      </c>
    </row>
    <row r="474" spans="1:12" x14ac:dyDescent="0.3">
      <c r="A474" t="s">
        <v>531</v>
      </c>
      <c r="B474" s="2">
        <v>45707</v>
      </c>
      <c r="C474" t="s">
        <v>50</v>
      </c>
      <c r="D474" t="s">
        <v>72</v>
      </c>
      <c r="E474" t="s">
        <v>30</v>
      </c>
      <c r="F474" t="s">
        <v>21</v>
      </c>
      <c r="G474" t="s">
        <v>40</v>
      </c>
      <c r="H474">
        <v>13</v>
      </c>
      <c r="I474">
        <v>5000</v>
      </c>
      <c r="J474">
        <f t="shared" si="14"/>
        <v>65000</v>
      </c>
      <c r="K474">
        <f>J474*0.73</f>
        <v>47450</v>
      </c>
      <c r="L474">
        <f t="shared" si="15"/>
        <v>17550</v>
      </c>
    </row>
    <row r="475" spans="1:12" x14ac:dyDescent="0.3">
      <c r="A475" t="s">
        <v>532</v>
      </c>
      <c r="B475" s="2">
        <v>45860</v>
      </c>
      <c r="C475" t="s">
        <v>76</v>
      </c>
      <c r="D475" t="s">
        <v>72</v>
      </c>
      <c r="E475" t="s">
        <v>30</v>
      </c>
      <c r="F475" t="s">
        <v>21</v>
      </c>
      <c r="G475" t="s">
        <v>54</v>
      </c>
      <c r="H475">
        <v>7</v>
      </c>
      <c r="I475">
        <v>18000</v>
      </c>
      <c r="J475">
        <f t="shared" si="14"/>
        <v>126000</v>
      </c>
      <c r="K475">
        <f>J475*0.83</f>
        <v>104580</v>
      </c>
      <c r="L475">
        <f t="shared" si="15"/>
        <v>21420</v>
      </c>
    </row>
    <row r="476" spans="1:12" x14ac:dyDescent="0.3">
      <c r="A476" t="s">
        <v>533</v>
      </c>
      <c r="B476" s="2">
        <v>45746</v>
      </c>
      <c r="C476" t="s">
        <v>63</v>
      </c>
      <c r="D476" t="s">
        <v>64</v>
      </c>
      <c r="E476" t="s">
        <v>20</v>
      </c>
      <c r="F476" t="s">
        <v>16</v>
      </c>
      <c r="G476" t="s">
        <v>92</v>
      </c>
      <c r="H476">
        <v>7</v>
      </c>
      <c r="I476">
        <v>1200</v>
      </c>
      <c r="J476">
        <f t="shared" si="14"/>
        <v>8400</v>
      </c>
      <c r="K476">
        <f>J476*0.8</f>
        <v>6720</v>
      </c>
      <c r="L476">
        <f t="shared" si="15"/>
        <v>1680</v>
      </c>
    </row>
    <row r="477" spans="1:12" x14ac:dyDescent="0.3">
      <c r="A477" t="s">
        <v>534</v>
      </c>
      <c r="B477" s="2">
        <v>45665</v>
      </c>
      <c r="C477" t="s">
        <v>29</v>
      </c>
      <c r="D477" t="s">
        <v>86</v>
      </c>
      <c r="E477" t="s">
        <v>46</v>
      </c>
      <c r="F477" t="s">
        <v>16</v>
      </c>
      <c r="G477" t="s">
        <v>92</v>
      </c>
      <c r="H477">
        <v>7</v>
      </c>
      <c r="I477">
        <v>1200</v>
      </c>
      <c r="J477">
        <f t="shared" si="14"/>
        <v>8400</v>
      </c>
      <c r="K477">
        <f>J477*0.78</f>
        <v>6552</v>
      </c>
      <c r="L477">
        <f t="shared" si="15"/>
        <v>1848</v>
      </c>
    </row>
    <row r="478" spans="1:12" x14ac:dyDescent="0.3">
      <c r="A478" t="s">
        <v>535</v>
      </c>
      <c r="B478" s="2">
        <v>45836</v>
      </c>
      <c r="C478" t="s">
        <v>43</v>
      </c>
      <c r="D478" t="s">
        <v>72</v>
      </c>
      <c r="E478" t="s">
        <v>15</v>
      </c>
      <c r="F478" t="s">
        <v>26</v>
      </c>
      <c r="G478" t="s">
        <v>69</v>
      </c>
      <c r="H478">
        <v>1</v>
      </c>
      <c r="I478">
        <v>2500</v>
      </c>
      <c r="J478">
        <f t="shared" si="14"/>
        <v>2500</v>
      </c>
      <c r="K478">
        <f>J478*0.71</f>
        <v>1775</v>
      </c>
      <c r="L478">
        <f t="shared" si="15"/>
        <v>725</v>
      </c>
    </row>
    <row r="479" spans="1:12" x14ac:dyDescent="0.3">
      <c r="A479" t="s">
        <v>536</v>
      </c>
      <c r="B479" s="2">
        <v>45935</v>
      </c>
      <c r="C479" t="s">
        <v>38</v>
      </c>
      <c r="D479" t="s">
        <v>14</v>
      </c>
      <c r="E479" t="s">
        <v>30</v>
      </c>
      <c r="F479" t="s">
        <v>21</v>
      </c>
      <c r="G479" t="s">
        <v>54</v>
      </c>
      <c r="H479">
        <v>17</v>
      </c>
      <c r="I479">
        <v>18000</v>
      </c>
      <c r="J479">
        <f t="shared" si="14"/>
        <v>306000</v>
      </c>
      <c r="K479">
        <f>J479*0.72</f>
        <v>220320</v>
      </c>
      <c r="L479">
        <f t="shared" si="15"/>
        <v>85680</v>
      </c>
    </row>
    <row r="480" spans="1:12" x14ac:dyDescent="0.3">
      <c r="A480" t="s">
        <v>537</v>
      </c>
      <c r="B480" s="2">
        <v>46015</v>
      </c>
      <c r="C480" t="s">
        <v>24</v>
      </c>
      <c r="D480" t="s">
        <v>83</v>
      </c>
      <c r="E480" t="s">
        <v>46</v>
      </c>
      <c r="F480" t="s">
        <v>26</v>
      </c>
      <c r="G480" t="s">
        <v>44</v>
      </c>
      <c r="H480">
        <v>7</v>
      </c>
      <c r="I480">
        <v>25000</v>
      </c>
      <c r="J480">
        <f t="shared" si="14"/>
        <v>175000</v>
      </c>
      <c r="K480">
        <f>J480*0.74</f>
        <v>129500</v>
      </c>
      <c r="L480">
        <f t="shared" si="15"/>
        <v>45500</v>
      </c>
    </row>
    <row r="481" spans="1:12" x14ac:dyDescent="0.3">
      <c r="A481" t="s">
        <v>538</v>
      </c>
      <c r="B481" s="2">
        <v>45909</v>
      </c>
      <c r="C481" t="s">
        <v>13</v>
      </c>
      <c r="D481" t="s">
        <v>72</v>
      </c>
      <c r="E481" t="s">
        <v>35</v>
      </c>
      <c r="F481" t="s">
        <v>21</v>
      </c>
      <c r="G481" t="s">
        <v>40</v>
      </c>
      <c r="H481">
        <v>5</v>
      </c>
      <c r="I481">
        <v>5000</v>
      </c>
      <c r="J481">
        <f t="shared" si="14"/>
        <v>25000</v>
      </c>
      <c r="K481">
        <f>J481*0.72</f>
        <v>18000</v>
      </c>
      <c r="L481">
        <f t="shared" si="15"/>
        <v>7000</v>
      </c>
    </row>
    <row r="482" spans="1:12" x14ac:dyDescent="0.3">
      <c r="A482" t="s">
        <v>539</v>
      </c>
      <c r="B482" s="2">
        <v>45946</v>
      </c>
      <c r="C482" t="s">
        <v>38</v>
      </c>
      <c r="D482" t="s">
        <v>64</v>
      </c>
      <c r="E482" t="s">
        <v>46</v>
      </c>
      <c r="F482" t="s">
        <v>21</v>
      </c>
      <c r="G482" t="s">
        <v>22</v>
      </c>
      <c r="H482">
        <v>2</v>
      </c>
      <c r="I482">
        <v>15000</v>
      </c>
      <c r="J482">
        <f t="shared" si="14"/>
        <v>30000</v>
      </c>
      <c r="K482">
        <f>J482*0.71</f>
        <v>21300</v>
      </c>
      <c r="L482">
        <f t="shared" si="15"/>
        <v>8700</v>
      </c>
    </row>
    <row r="483" spans="1:12" x14ac:dyDescent="0.3">
      <c r="A483" t="s">
        <v>540</v>
      </c>
      <c r="B483" s="2">
        <v>45708</v>
      </c>
      <c r="C483" t="s">
        <v>50</v>
      </c>
      <c r="D483" t="s">
        <v>51</v>
      </c>
      <c r="E483" t="s">
        <v>30</v>
      </c>
      <c r="F483" t="s">
        <v>16</v>
      </c>
      <c r="G483" t="s">
        <v>36</v>
      </c>
      <c r="H483">
        <v>13</v>
      </c>
      <c r="I483">
        <v>150</v>
      </c>
      <c r="J483">
        <f t="shared" si="14"/>
        <v>1950</v>
      </c>
      <c r="K483">
        <f>J483*0.73</f>
        <v>1423.5</v>
      </c>
      <c r="L483">
        <f t="shared" si="15"/>
        <v>526.5</v>
      </c>
    </row>
    <row r="484" spans="1:12" x14ac:dyDescent="0.3">
      <c r="A484" t="s">
        <v>541</v>
      </c>
      <c r="B484" s="2">
        <v>45908</v>
      </c>
      <c r="C484" t="s">
        <v>13</v>
      </c>
      <c r="D484" t="s">
        <v>72</v>
      </c>
      <c r="E484" t="s">
        <v>46</v>
      </c>
      <c r="F484" t="s">
        <v>16</v>
      </c>
      <c r="G484" t="s">
        <v>78</v>
      </c>
      <c r="H484">
        <v>18</v>
      </c>
      <c r="I484">
        <v>800</v>
      </c>
      <c r="J484">
        <f t="shared" si="14"/>
        <v>14400</v>
      </c>
      <c r="K484">
        <f>J484*0.74</f>
        <v>10656</v>
      </c>
      <c r="L484">
        <f t="shared" si="15"/>
        <v>3744</v>
      </c>
    </row>
    <row r="485" spans="1:12" x14ac:dyDescent="0.3">
      <c r="A485" t="s">
        <v>542</v>
      </c>
      <c r="B485" s="2">
        <v>46010</v>
      </c>
      <c r="C485" t="s">
        <v>24</v>
      </c>
      <c r="D485" t="s">
        <v>33</v>
      </c>
      <c r="E485" t="s">
        <v>20</v>
      </c>
      <c r="F485" t="s">
        <v>26</v>
      </c>
      <c r="G485" t="s">
        <v>127</v>
      </c>
      <c r="H485">
        <v>9</v>
      </c>
      <c r="I485">
        <v>1500</v>
      </c>
      <c r="J485">
        <f t="shared" si="14"/>
        <v>13500</v>
      </c>
      <c r="K485">
        <f>J485*0.82</f>
        <v>11070</v>
      </c>
      <c r="L485">
        <f t="shared" si="15"/>
        <v>2430</v>
      </c>
    </row>
    <row r="486" spans="1:12" x14ac:dyDescent="0.3">
      <c r="A486" t="s">
        <v>543</v>
      </c>
      <c r="B486" s="2">
        <v>45718</v>
      </c>
      <c r="C486" t="s">
        <v>63</v>
      </c>
      <c r="D486" t="s">
        <v>86</v>
      </c>
      <c r="E486" t="s">
        <v>46</v>
      </c>
      <c r="F486" t="s">
        <v>21</v>
      </c>
      <c r="G486" t="s">
        <v>65</v>
      </c>
      <c r="H486">
        <v>14</v>
      </c>
      <c r="I486">
        <v>22000</v>
      </c>
      <c r="J486">
        <f t="shared" si="14"/>
        <v>308000</v>
      </c>
      <c r="K486">
        <f>J486*0.71</f>
        <v>218680</v>
      </c>
      <c r="L486">
        <f t="shared" si="15"/>
        <v>89320</v>
      </c>
    </row>
    <row r="487" spans="1:12" x14ac:dyDescent="0.3">
      <c r="A487" t="s">
        <v>544</v>
      </c>
      <c r="B487" s="2">
        <v>45801</v>
      </c>
      <c r="C487" t="s">
        <v>48</v>
      </c>
      <c r="D487" t="s">
        <v>19</v>
      </c>
      <c r="E487" t="s">
        <v>30</v>
      </c>
      <c r="F487" t="s">
        <v>26</v>
      </c>
      <c r="G487" t="s">
        <v>27</v>
      </c>
      <c r="H487">
        <v>13</v>
      </c>
      <c r="I487">
        <v>45000</v>
      </c>
      <c r="J487">
        <f t="shared" si="14"/>
        <v>585000</v>
      </c>
      <c r="K487">
        <f>J487*0.72</f>
        <v>421200</v>
      </c>
      <c r="L487">
        <f t="shared" si="15"/>
        <v>163800</v>
      </c>
    </row>
    <row r="488" spans="1:12" x14ac:dyDescent="0.3">
      <c r="A488" t="s">
        <v>545</v>
      </c>
      <c r="B488" s="2">
        <v>45979</v>
      </c>
      <c r="C488" t="s">
        <v>32</v>
      </c>
      <c r="D488" t="s">
        <v>86</v>
      </c>
      <c r="E488" t="s">
        <v>20</v>
      </c>
      <c r="F488" t="s">
        <v>21</v>
      </c>
      <c r="G488" t="s">
        <v>40</v>
      </c>
      <c r="H488">
        <v>20</v>
      </c>
      <c r="I488">
        <v>5000</v>
      </c>
      <c r="J488">
        <f t="shared" si="14"/>
        <v>100000</v>
      </c>
      <c r="K488">
        <f>J488*0.71</f>
        <v>71000</v>
      </c>
      <c r="L488">
        <f t="shared" si="15"/>
        <v>29000</v>
      </c>
    </row>
    <row r="489" spans="1:12" x14ac:dyDescent="0.3">
      <c r="A489" t="s">
        <v>546</v>
      </c>
      <c r="B489" s="2">
        <v>45858</v>
      </c>
      <c r="C489" t="s">
        <v>76</v>
      </c>
      <c r="D489" t="s">
        <v>19</v>
      </c>
      <c r="E489" t="s">
        <v>30</v>
      </c>
      <c r="F489" t="s">
        <v>16</v>
      </c>
      <c r="G489" t="s">
        <v>36</v>
      </c>
      <c r="H489">
        <v>16</v>
      </c>
      <c r="I489">
        <v>150</v>
      </c>
      <c r="J489">
        <f t="shared" si="14"/>
        <v>2400</v>
      </c>
      <c r="K489">
        <f>J489*0.83</f>
        <v>1992</v>
      </c>
      <c r="L489">
        <f t="shared" si="15"/>
        <v>408</v>
      </c>
    </row>
    <row r="490" spans="1:12" x14ac:dyDescent="0.3">
      <c r="A490" t="s">
        <v>547</v>
      </c>
      <c r="B490" s="2">
        <v>45846</v>
      </c>
      <c r="C490" t="s">
        <v>76</v>
      </c>
      <c r="D490" t="s">
        <v>64</v>
      </c>
      <c r="E490" t="s">
        <v>20</v>
      </c>
      <c r="F490" t="s">
        <v>21</v>
      </c>
      <c r="G490" t="s">
        <v>22</v>
      </c>
      <c r="H490">
        <v>11</v>
      </c>
      <c r="I490">
        <v>15000</v>
      </c>
      <c r="J490">
        <f t="shared" si="14"/>
        <v>165000</v>
      </c>
      <c r="K490">
        <f>J490*0.76</f>
        <v>125400</v>
      </c>
      <c r="L490">
        <f t="shared" si="15"/>
        <v>39600</v>
      </c>
    </row>
    <row r="491" spans="1:12" x14ac:dyDescent="0.3">
      <c r="A491" t="s">
        <v>548</v>
      </c>
      <c r="B491" s="2">
        <v>45749</v>
      </c>
      <c r="C491" t="s">
        <v>59</v>
      </c>
      <c r="D491" t="s">
        <v>25</v>
      </c>
      <c r="E491" t="s">
        <v>15</v>
      </c>
      <c r="F491" t="s">
        <v>26</v>
      </c>
      <c r="G491" t="s">
        <v>27</v>
      </c>
      <c r="H491">
        <v>7</v>
      </c>
      <c r="I491">
        <v>45000</v>
      </c>
      <c r="J491">
        <f t="shared" si="14"/>
        <v>315000</v>
      </c>
      <c r="K491">
        <f>J491*0.83</f>
        <v>261450</v>
      </c>
      <c r="L491">
        <f t="shared" si="15"/>
        <v>53550</v>
      </c>
    </row>
    <row r="492" spans="1:12" x14ac:dyDescent="0.3">
      <c r="A492" t="s">
        <v>549</v>
      </c>
      <c r="B492" s="2">
        <v>46013</v>
      </c>
      <c r="C492" t="s">
        <v>24</v>
      </c>
      <c r="D492" t="s">
        <v>86</v>
      </c>
      <c r="E492" t="s">
        <v>30</v>
      </c>
      <c r="F492" t="s">
        <v>16</v>
      </c>
      <c r="G492" t="s">
        <v>78</v>
      </c>
      <c r="H492">
        <v>15</v>
      </c>
      <c r="I492">
        <v>800</v>
      </c>
      <c r="J492">
        <f t="shared" si="14"/>
        <v>12000</v>
      </c>
      <c r="K492">
        <f>J492*0.74</f>
        <v>8880</v>
      </c>
      <c r="L492">
        <f t="shared" si="15"/>
        <v>3120</v>
      </c>
    </row>
    <row r="493" spans="1:12" x14ac:dyDescent="0.3">
      <c r="A493" t="s">
        <v>550</v>
      </c>
      <c r="B493" s="2">
        <v>45933</v>
      </c>
      <c r="C493" t="s">
        <v>38</v>
      </c>
      <c r="D493" t="s">
        <v>72</v>
      </c>
      <c r="E493" t="s">
        <v>15</v>
      </c>
      <c r="F493" t="s">
        <v>21</v>
      </c>
      <c r="G493" t="s">
        <v>22</v>
      </c>
      <c r="H493">
        <v>5</v>
      </c>
      <c r="I493">
        <v>15000</v>
      </c>
      <c r="J493">
        <f t="shared" si="14"/>
        <v>75000</v>
      </c>
      <c r="K493">
        <f>J493*0.82</f>
        <v>61499.999999999993</v>
      </c>
      <c r="L493">
        <f t="shared" si="15"/>
        <v>13500.000000000007</v>
      </c>
    </row>
    <row r="494" spans="1:12" x14ac:dyDescent="0.3">
      <c r="A494" t="s">
        <v>551</v>
      </c>
      <c r="B494" s="2">
        <v>45879</v>
      </c>
      <c r="C494" t="s">
        <v>57</v>
      </c>
      <c r="D494" t="s">
        <v>72</v>
      </c>
      <c r="E494" t="s">
        <v>30</v>
      </c>
      <c r="F494" t="s">
        <v>26</v>
      </c>
      <c r="G494" t="s">
        <v>27</v>
      </c>
      <c r="H494">
        <v>14</v>
      </c>
      <c r="I494">
        <v>45000</v>
      </c>
      <c r="J494">
        <f t="shared" si="14"/>
        <v>630000</v>
      </c>
      <c r="K494">
        <f>J494*0.84</f>
        <v>529200</v>
      </c>
      <c r="L494">
        <f t="shared" si="15"/>
        <v>100800</v>
      </c>
    </row>
    <row r="495" spans="1:12" x14ac:dyDescent="0.3">
      <c r="A495" t="s">
        <v>552</v>
      </c>
      <c r="B495" s="2">
        <v>45752</v>
      </c>
      <c r="C495" t="s">
        <v>59</v>
      </c>
      <c r="D495" t="s">
        <v>39</v>
      </c>
      <c r="E495" t="s">
        <v>15</v>
      </c>
      <c r="F495" t="s">
        <v>21</v>
      </c>
      <c r="G495" t="s">
        <v>65</v>
      </c>
      <c r="H495">
        <v>1</v>
      </c>
      <c r="I495">
        <v>22000</v>
      </c>
      <c r="J495">
        <f t="shared" si="14"/>
        <v>22000</v>
      </c>
      <c r="K495">
        <f>J495*0.77</f>
        <v>16940</v>
      </c>
      <c r="L495">
        <f t="shared" si="15"/>
        <v>5060</v>
      </c>
    </row>
    <row r="496" spans="1:12" x14ac:dyDescent="0.3">
      <c r="A496" t="s">
        <v>553</v>
      </c>
      <c r="B496" s="2">
        <v>45744</v>
      </c>
      <c r="C496" t="s">
        <v>63</v>
      </c>
      <c r="D496" t="s">
        <v>86</v>
      </c>
      <c r="E496" t="s">
        <v>35</v>
      </c>
      <c r="F496" t="s">
        <v>16</v>
      </c>
      <c r="G496" t="s">
        <v>78</v>
      </c>
      <c r="H496">
        <v>17</v>
      </c>
      <c r="I496">
        <v>800</v>
      </c>
      <c r="J496">
        <f t="shared" si="14"/>
        <v>13600</v>
      </c>
      <c r="K496">
        <f>J496*0.73</f>
        <v>9928</v>
      </c>
      <c r="L496">
        <f t="shared" si="15"/>
        <v>3672</v>
      </c>
    </row>
    <row r="497" spans="1:12" x14ac:dyDescent="0.3">
      <c r="A497" t="s">
        <v>554</v>
      </c>
      <c r="B497" s="2">
        <v>45680</v>
      </c>
      <c r="C497" t="s">
        <v>29</v>
      </c>
      <c r="D497" t="s">
        <v>72</v>
      </c>
      <c r="E497" t="s">
        <v>15</v>
      </c>
      <c r="F497" t="s">
        <v>21</v>
      </c>
      <c r="G497" t="s">
        <v>40</v>
      </c>
      <c r="H497">
        <v>4</v>
      </c>
      <c r="I497">
        <v>5000</v>
      </c>
      <c r="J497">
        <f t="shared" si="14"/>
        <v>20000</v>
      </c>
      <c r="K497">
        <f>J497*0.79</f>
        <v>15800</v>
      </c>
      <c r="L497">
        <f t="shared" si="15"/>
        <v>4200</v>
      </c>
    </row>
    <row r="498" spans="1:12" x14ac:dyDescent="0.3">
      <c r="A498" t="s">
        <v>555</v>
      </c>
      <c r="B498" s="2">
        <v>46008</v>
      </c>
      <c r="C498" t="s">
        <v>24</v>
      </c>
      <c r="D498" t="s">
        <v>51</v>
      </c>
      <c r="E498" t="s">
        <v>30</v>
      </c>
      <c r="F498" t="s">
        <v>26</v>
      </c>
      <c r="G498" t="s">
        <v>69</v>
      </c>
      <c r="H498">
        <v>10</v>
      </c>
      <c r="I498">
        <v>2500</v>
      </c>
      <c r="J498">
        <f t="shared" si="14"/>
        <v>25000</v>
      </c>
      <c r="K498">
        <f>J498*0.78</f>
        <v>19500</v>
      </c>
      <c r="L498">
        <f t="shared" si="15"/>
        <v>5500</v>
      </c>
    </row>
    <row r="499" spans="1:12" x14ac:dyDescent="0.3">
      <c r="A499" t="s">
        <v>556</v>
      </c>
      <c r="B499" s="2">
        <v>45732</v>
      </c>
      <c r="C499" t="s">
        <v>63</v>
      </c>
      <c r="D499" t="s">
        <v>83</v>
      </c>
      <c r="E499" t="s">
        <v>46</v>
      </c>
      <c r="F499" t="s">
        <v>21</v>
      </c>
      <c r="G499" t="s">
        <v>54</v>
      </c>
      <c r="H499">
        <v>3</v>
      </c>
      <c r="I499">
        <v>18000</v>
      </c>
      <c r="J499">
        <f t="shared" si="14"/>
        <v>54000</v>
      </c>
      <c r="K499">
        <f>J499*0.79</f>
        <v>42660</v>
      </c>
      <c r="L499">
        <f t="shared" si="15"/>
        <v>11340</v>
      </c>
    </row>
    <row r="500" spans="1:12" x14ac:dyDescent="0.3">
      <c r="A500" t="s">
        <v>557</v>
      </c>
      <c r="B500" s="2">
        <v>45720</v>
      </c>
      <c r="C500" t="s">
        <v>63</v>
      </c>
      <c r="D500" t="s">
        <v>33</v>
      </c>
      <c r="E500" t="s">
        <v>30</v>
      </c>
      <c r="F500" t="s">
        <v>26</v>
      </c>
      <c r="G500" t="s">
        <v>94</v>
      </c>
      <c r="H500">
        <v>15</v>
      </c>
      <c r="I500">
        <v>28000</v>
      </c>
      <c r="J500">
        <f t="shared" si="14"/>
        <v>420000</v>
      </c>
      <c r="K500">
        <f>J500*0.76</f>
        <v>319200</v>
      </c>
      <c r="L500">
        <f t="shared" si="15"/>
        <v>100800</v>
      </c>
    </row>
    <row r="501" spans="1:12" x14ac:dyDescent="0.3">
      <c r="A501" t="s">
        <v>558</v>
      </c>
      <c r="B501" s="2">
        <v>45826</v>
      </c>
      <c r="C501" t="s">
        <v>43</v>
      </c>
      <c r="D501" t="s">
        <v>64</v>
      </c>
      <c r="E501" t="s">
        <v>35</v>
      </c>
      <c r="F501" t="s">
        <v>26</v>
      </c>
      <c r="G501" t="s">
        <v>52</v>
      </c>
      <c r="H501">
        <v>9</v>
      </c>
      <c r="I501">
        <v>35000</v>
      </c>
      <c r="J501">
        <f t="shared" si="14"/>
        <v>315000</v>
      </c>
      <c r="K501">
        <f>J501*0.83</f>
        <v>261450</v>
      </c>
      <c r="L501">
        <f t="shared" si="15"/>
        <v>53550</v>
      </c>
    </row>
    <row r="502" spans="1:12" x14ac:dyDescent="0.3">
      <c r="A502" t="s">
        <v>559</v>
      </c>
      <c r="B502" s="2">
        <v>45686</v>
      </c>
      <c r="C502" t="s">
        <v>29</v>
      </c>
      <c r="D502" t="s">
        <v>72</v>
      </c>
      <c r="E502" t="s">
        <v>35</v>
      </c>
      <c r="F502" t="s">
        <v>26</v>
      </c>
      <c r="G502" t="s">
        <v>127</v>
      </c>
      <c r="H502">
        <v>14</v>
      </c>
      <c r="I502">
        <v>1500</v>
      </c>
      <c r="J502">
        <f t="shared" si="14"/>
        <v>21000</v>
      </c>
      <c r="K502">
        <f>J502*0.73</f>
        <v>15330</v>
      </c>
      <c r="L502">
        <f t="shared" si="15"/>
        <v>5670</v>
      </c>
    </row>
    <row r="503" spans="1:12" x14ac:dyDescent="0.3">
      <c r="A503" t="s">
        <v>560</v>
      </c>
      <c r="B503" s="2">
        <v>45659</v>
      </c>
      <c r="C503" t="s">
        <v>29</v>
      </c>
      <c r="D503" t="s">
        <v>51</v>
      </c>
      <c r="E503" t="s">
        <v>15</v>
      </c>
      <c r="F503" t="s">
        <v>26</v>
      </c>
      <c r="G503" t="s">
        <v>111</v>
      </c>
      <c r="H503">
        <v>13</v>
      </c>
      <c r="I503">
        <v>85000</v>
      </c>
      <c r="J503">
        <f t="shared" si="14"/>
        <v>1105000</v>
      </c>
      <c r="K503">
        <f>J503*0.72</f>
        <v>795600</v>
      </c>
      <c r="L503">
        <f t="shared" si="15"/>
        <v>309400</v>
      </c>
    </row>
    <row r="504" spans="1:12" x14ac:dyDescent="0.3">
      <c r="A504" t="s">
        <v>561</v>
      </c>
      <c r="B504" s="2">
        <v>45989</v>
      </c>
      <c r="C504" t="s">
        <v>32</v>
      </c>
      <c r="D504" t="s">
        <v>14</v>
      </c>
      <c r="E504" t="s">
        <v>15</v>
      </c>
      <c r="F504" t="s">
        <v>16</v>
      </c>
      <c r="G504" t="s">
        <v>36</v>
      </c>
      <c r="H504">
        <v>5</v>
      </c>
      <c r="I504">
        <v>150</v>
      </c>
      <c r="J504">
        <f t="shared" si="14"/>
        <v>750</v>
      </c>
      <c r="K504">
        <f>J504*0.75</f>
        <v>562.5</v>
      </c>
      <c r="L504">
        <f t="shared" si="15"/>
        <v>187.5</v>
      </c>
    </row>
    <row r="505" spans="1:12" x14ac:dyDescent="0.3">
      <c r="A505" t="s">
        <v>562</v>
      </c>
      <c r="B505" s="2">
        <v>45860</v>
      </c>
      <c r="C505" t="s">
        <v>76</v>
      </c>
      <c r="D505" t="s">
        <v>86</v>
      </c>
      <c r="E505" t="s">
        <v>46</v>
      </c>
      <c r="F505" t="s">
        <v>16</v>
      </c>
      <c r="G505" t="s">
        <v>92</v>
      </c>
      <c r="H505">
        <v>6</v>
      </c>
      <c r="I505">
        <v>1200</v>
      </c>
      <c r="J505">
        <f t="shared" si="14"/>
        <v>7200</v>
      </c>
      <c r="K505">
        <f>J505*0.8</f>
        <v>5760</v>
      </c>
      <c r="L505">
        <f t="shared" si="15"/>
        <v>1440</v>
      </c>
    </row>
    <row r="506" spans="1:12" x14ac:dyDescent="0.3">
      <c r="A506" t="s">
        <v>563</v>
      </c>
      <c r="B506" s="2">
        <v>45945</v>
      </c>
      <c r="C506" t="s">
        <v>38</v>
      </c>
      <c r="D506" t="s">
        <v>86</v>
      </c>
      <c r="E506" t="s">
        <v>46</v>
      </c>
      <c r="F506" t="s">
        <v>21</v>
      </c>
      <c r="G506" t="s">
        <v>74</v>
      </c>
      <c r="H506">
        <v>8</v>
      </c>
      <c r="I506">
        <v>12000</v>
      </c>
      <c r="J506">
        <f t="shared" si="14"/>
        <v>96000</v>
      </c>
      <c r="K506">
        <f>J506*0.75</f>
        <v>72000</v>
      </c>
      <c r="L506">
        <f t="shared" si="15"/>
        <v>24000</v>
      </c>
    </row>
    <row r="507" spans="1:12" x14ac:dyDescent="0.3">
      <c r="A507" t="s">
        <v>564</v>
      </c>
      <c r="B507" s="2">
        <v>45938</v>
      </c>
      <c r="C507" t="s">
        <v>38</v>
      </c>
      <c r="D507" t="s">
        <v>19</v>
      </c>
      <c r="E507" t="s">
        <v>46</v>
      </c>
      <c r="F507" t="s">
        <v>16</v>
      </c>
      <c r="G507" t="s">
        <v>36</v>
      </c>
      <c r="H507">
        <v>2</v>
      </c>
      <c r="I507">
        <v>150</v>
      </c>
      <c r="J507">
        <f t="shared" si="14"/>
        <v>300</v>
      </c>
      <c r="K507">
        <f>J507*0.75</f>
        <v>225</v>
      </c>
      <c r="L507">
        <f t="shared" si="15"/>
        <v>75</v>
      </c>
    </row>
    <row r="508" spans="1:12" x14ac:dyDescent="0.3">
      <c r="A508" t="s">
        <v>565</v>
      </c>
      <c r="B508" s="2">
        <v>45884</v>
      </c>
      <c r="C508" t="s">
        <v>57</v>
      </c>
      <c r="D508" t="s">
        <v>14</v>
      </c>
      <c r="E508" t="s">
        <v>30</v>
      </c>
      <c r="F508" t="s">
        <v>16</v>
      </c>
      <c r="G508" t="s">
        <v>78</v>
      </c>
      <c r="H508">
        <v>3</v>
      </c>
      <c r="I508">
        <v>800</v>
      </c>
      <c r="J508">
        <f t="shared" si="14"/>
        <v>2400</v>
      </c>
      <c r="K508">
        <f>J508*0.72</f>
        <v>1728</v>
      </c>
      <c r="L508">
        <f t="shared" si="15"/>
        <v>672</v>
      </c>
    </row>
    <row r="509" spans="1:12" x14ac:dyDescent="0.3">
      <c r="A509" t="s">
        <v>566</v>
      </c>
      <c r="B509" s="2">
        <v>45858</v>
      </c>
      <c r="C509" t="s">
        <v>76</v>
      </c>
      <c r="D509" t="s">
        <v>33</v>
      </c>
      <c r="E509" t="s">
        <v>15</v>
      </c>
      <c r="F509" t="s">
        <v>26</v>
      </c>
      <c r="G509" t="s">
        <v>111</v>
      </c>
      <c r="H509">
        <v>9</v>
      </c>
      <c r="I509">
        <v>85000</v>
      </c>
      <c r="J509">
        <f t="shared" si="14"/>
        <v>765000</v>
      </c>
      <c r="K509">
        <f>J509*0.78</f>
        <v>596700</v>
      </c>
      <c r="L509">
        <f t="shared" si="15"/>
        <v>168300</v>
      </c>
    </row>
    <row r="510" spans="1:12" x14ac:dyDescent="0.3">
      <c r="A510" t="s">
        <v>567</v>
      </c>
      <c r="B510" s="2">
        <v>45830</v>
      </c>
      <c r="C510" t="s">
        <v>43</v>
      </c>
      <c r="D510" t="s">
        <v>51</v>
      </c>
      <c r="E510" t="s">
        <v>15</v>
      </c>
      <c r="F510" t="s">
        <v>16</v>
      </c>
      <c r="G510" t="s">
        <v>78</v>
      </c>
      <c r="H510">
        <v>16</v>
      </c>
      <c r="I510">
        <v>800</v>
      </c>
      <c r="J510">
        <f t="shared" si="14"/>
        <v>12800</v>
      </c>
      <c r="K510">
        <f>J510*0.83</f>
        <v>10624</v>
      </c>
      <c r="L510">
        <f t="shared" si="15"/>
        <v>2176</v>
      </c>
    </row>
    <row r="511" spans="1:12" x14ac:dyDescent="0.3">
      <c r="A511" t="s">
        <v>568</v>
      </c>
      <c r="B511" s="2">
        <v>45836</v>
      </c>
      <c r="C511" t="s">
        <v>43</v>
      </c>
      <c r="D511" t="s">
        <v>83</v>
      </c>
      <c r="E511" t="s">
        <v>30</v>
      </c>
      <c r="F511" t="s">
        <v>26</v>
      </c>
      <c r="G511" t="s">
        <v>111</v>
      </c>
      <c r="H511">
        <v>2</v>
      </c>
      <c r="I511">
        <v>85000</v>
      </c>
      <c r="J511">
        <f t="shared" si="14"/>
        <v>170000</v>
      </c>
      <c r="K511">
        <f>J511*0.72</f>
        <v>122400</v>
      </c>
      <c r="L511">
        <f t="shared" si="15"/>
        <v>47600</v>
      </c>
    </row>
    <row r="512" spans="1:12" x14ac:dyDescent="0.3">
      <c r="A512" t="s">
        <v>569</v>
      </c>
      <c r="B512" s="2">
        <v>45776</v>
      </c>
      <c r="C512" t="s">
        <v>59</v>
      </c>
      <c r="D512" t="s">
        <v>86</v>
      </c>
      <c r="E512" t="s">
        <v>46</v>
      </c>
      <c r="F512" t="s">
        <v>16</v>
      </c>
      <c r="G512" t="s">
        <v>17</v>
      </c>
      <c r="H512">
        <v>3</v>
      </c>
      <c r="I512">
        <v>300</v>
      </c>
      <c r="J512">
        <f t="shared" si="14"/>
        <v>900</v>
      </c>
      <c r="K512">
        <f>J512*0.83</f>
        <v>747</v>
      </c>
      <c r="L512">
        <f t="shared" si="15"/>
        <v>153</v>
      </c>
    </row>
    <row r="513" spans="1:12" x14ac:dyDescent="0.3">
      <c r="A513" t="s">
        <v>570</v>
      </c>
      <c r="B513" s="2">
        <v>45998</v>
      </c>
      <c r="C513" t="s">
        <v>24</v>
      </c>
      <c r="D513" t="s">
        <v>86</v>
      </c>
      <c r="E513" t="s">
        <v>15</v>
      </c>
      <c r="F513" t="s">
        <v>26</v>
      </c>
      <c r="G513" t="s">
        <v>44</v>
      </c>
      <c r="H513">
        <v>3</v>
      </c>
      <c r="I513">
        <v>25000</v>
      </c>
      <c r="J513">
        <f t="shared" si="14"/>
        <v>75000</v>
      </c>
      <c r="K513">
        <f>J513*0.81</f>
        <v>60750.000000000007</v>
      </c>
      <c r="L513">
        <f t="shared" si="15"/>
        <v>14249.999999999993</v>
      </c>
    </row>
    <row r="514" spans="1:12" x14ac:dyDescent="0.3">
      <c r="A514" t="s">
        <v>571</v>
      </c>
      <c r="B514" s="2">
        <v>45718</v>
      </c>
      <c r="C514" t="s">
        <v>63</v>
      </c>
      <c r="D514" t="s">
        <v>83</v>
      </c>
      <c r="E514" t="s">
        <v>35</v>
      </c>
      <c r="F514" t="s">
        <v>21</v>
      </c>
      <c r="G514" t="s">
        <v>40</v>
      </c>
      <c r="H514">
        <v>10</v>
      </c>
      <c r="I514">
        <v>5000</v>
      </c>
      <c r="J514">
        <f t="shared" ref="J514:J577" si="16">H514*I514</f>
        <v>50000</v>
      </c>
      <c r="K514">
        <f>J514*0.7</f>
        <v>35000</v>
      </c>
      <c r="L514">
        <f t="shared" ref="L514:L577" si="17">J514-K514</f>
        <v>15000</v>
      </c>
    </row>
    <row r="515" spans="1:12" x14ac:dyDescent="0.3">
      <c r="A515" t="s">
        <v>572</v>
      </c>
      <c r="B515" s="2">
        <v>46009</v>
      </c>
      <c r="C515" t="s">
        <v>24</v>
      </c>
      <c r="D515" t="s">
        <v>33</v>
      </c>
      <c r="E515" t="s">
        <v>15</v>
      </c>
      <c r="F515" t="s">
        <v>26</v>
      </c>
      <c r="G515" t="s">
        <v>127</v>
      </c>
      <c r="H515">
        <v>6</v>
      </c>
      <c r="I515">
        <v>1500</v>
      </c>
      <c r="J515">
        <f t="shared" si="16"/>
        <v>9000</v>
      </c>
      <c r="K515">
        <f>J515*0.76</f>
        <v>6840</v>
      </c>
      <c r="L515">
        <f t="shared" si="17"/>
        <v>2160</v>
      </c>
    </row>
    <row r="516" spans="1:12" x14ac:dyDescent="0.3">
      <c r="A516" t="s">
        <v>573</v>
      </c>
      <c r="B516" s="2">
        <v>45762</v>
      </c>
      <c r="C516" t="s">
        <v>59</v>
      </c>
      <c r="D516" t="s">
        <v>51</v>
      </c>
      <c r="E516" t="s">
        <v>30</v>
      </c>
      <c r="F516" t="s">
        <v>16</v>
      </c>
      <c r="G516" t="s">
        <v>17</v>
      </c>
      <c r="H516">
        <v>5</v>
      </c>
      <c r="I516">
        <v>300</v>
      </c>
      <c r="J516">
        <f t="shared" si="16"/>
        <v>1500</v>
      </c>
      <c r="K516">
        <f>J516*0.84</f>
        <v>1260</v>
      </c>
      <c r="L516">
        <f t="shared" si="17"/>
        <v>240</v>
      </c>
    </row>
    <row r="517" spans="1:12" x14ac:dyDescent="0.3">
      <c r="A517" t="s">
        <v>574</v>
      </c>
      <c r="B517" s="2">
        <v>45793</v>
      </c>
      <c r="C517" t="s">
        <v>48</v>
      </c>
      <c r="D517" t="s">
        <v>39</v>
      </c>
      <c r="E517" t="s">
        <v>35</v>
      </c>
      <c r="F517" t="s">
        <v>16</v>
      </c>
      <c r="G517" t="s">
        <v>92</v>
      </c>
      <c r="H517">
        <v>10</v>
      </c>
      <c r="I517">
        <v>1200</v>
      </c>
      <c r="J517">
        <f t="shared" si="16"/>
        <v>12000</v>
      </c>
      <c r="K517">
        <f>J517*0.73</f>
        <v>8760</v>
      </c>
      <c r="L517">
        <f t="shared" si="17"/>
        <v>3240</v>
      </c>
    </row>
    <row r="518" spans="1:12" x14ac:dyDescent="0.3">
      <c r="A518" t="s">
        <v>575</v>
      </c>
      <c r="B518" s="2">
        <v>45825</v>
      </c>
      <c r="C518" t="s">
        <v>43</v>
      </c>
      <c r="D518" t="s">
        <v>25</v>
      </c>
      <c r="E518" t="s">
        <v>30</v>
      </c>
      <c r="F518" t="s">
        <v>16</v>
      </c>
      <c r="G518" t="s">
        <v>36</v>
      </c>
      <c r="H518">
        <v>15</v>
      </c>
      <c r="I518">
        <v>150</v>
      </c>
      <c r="J518">
        <f t="shared" si="16"/>
        <v>2250</v>
      </c>
      <c r="K518">
        <f>J518*0.82</f>
        <v>1845</v>
      </c>
      <c r="L518">
        <f t="shared" si="17"/>
        <v>405</v>
      </c>
    </row>
    <row r="519" spans="1:12" x14ac:dyDescent="0.3">
      <c r="A519" t="s">
        <v>576</v>
      </c>
      <c r="B519" s="2">
        <v>45988</v>
      </c>
      <c r="C519" t="s">
        <v>32</v>
      </c>
      <c r="D519" t="s">
        <v>33</v>
      </c>
      <c r="E519" t="s">
        <v>35</v>
      </c>
      <c r="F519" t="s">
        <v>16</v>
      </c>
      <c r="G519" t="s">
        <v>36</v>
      </c>
      <c r="H519">
        <v>15</v>
      </c>
      <c r="I519">
        <v>150</v>
      </c>
      <c r="J519">
        <f t="shared" si="16"/>
        <v>2250</v>
      </c>
      <c r="K519">
        <f>J519*0.71</f>
        <v>1597.5</v>
      </c>
      <c r="L519">
        <f t="shared" si="17"/>
        <v>652.5</v>
      </c>
    </row>
    <row r="520" spans="1:12" x14ac:dyDescent="0.3">
      <c r="A520" t="s">
        <v>577</v>
      </c>
      <c r="B520" s="2">
        <v>45669</v>
      </c>
      <c r="C520" t="s">
        <v>29</v>
      </c>
      <c r="D520" t="s">
        <v>64</v>
      </c>
      <c r="E520" t="s">
        <v>15</v>
      </c>
      <c r="F520" t="s">
        <v>26</v>
      </c>
      <c r="G520" t="s">
        <v>69</v>
      </c>
      <c r="H520">
        <v>16</v>
      </c>
      <c r="I520">
        <v>2500</v>
      </c>
      <c r="J520">
        <f t="shared" si="16"/>
        <v>40000</v>
      </c>
      <c r="K520">
        <f>J520*0.75</f>
        <v>30000</v>
      </c>
      <c r="L520">
        <f t="shared" si="17"/>
        <v>10000</v>
      </c>
    </row>
    <row r="521" spans="1:12" x14ac:dyDescent="0.3">
      <c r="A521" t="s">
        <v>578</v>
      </c>
      <c r="B521" s="2">
        <v>45788</v>
      </c>
      <c r="C521" t="s">
        <v>48</v>
      </c>
      <c r="D521" t="s">
        <v>64</v>
      </c>
      <c r="E521" t="s">
        <v>35</v>
      </c>
      <c r="F521" t="s">
        <v>16</v>
      </c>
      <c r="G521" t="s">
        <v>92</v>
      </c>
      <c r="H521">
        <v>14</v>
      </c>
      <c r="I521">
        <v>1200</v>
      </c>
      <c r="J521">
        <f t="shared" si="16"/>
        <v>16800</v>
      </c>
      <c r="K521">
        <f>J521*0.83</f>
        <v>13944</v>
      </c>
      <c r="L521">
        <f t="shared" si="17"/>
        <v>2856</v>
      </c>
    </row>
    <row r="522" spans="1:12" x14ac:dyDescent="0.3">
      <c r="A522" t="s">
        <v>579</v>
      </c>
      <c r="B522" s="2">
        <v>45740</v>
      </c>
      <c r="C522" t="s">
        <v>63</v>
      </c>
      <c r="D522" t="s">
        <v>25</v>
      </c>
      <c r="E522" t="s">
        <v>20</v>
      </c>
      <c r="F522" t="s">
        <v>26</v>
      </c>
      <c r="G522" t="s">
        <v>44</v>
      </c>
      <c r="H522">
        <v>17</v>
      </c>
      <c r="I522">
        <v>25000</v>
      </c>
      <c r="J522">
        <f t="shared" si="16"/>
        <v>425000</v>
      </c>
      <c r="K522">
        <f>J522*0.79</f>
        <v>335750</v>
      </c>
      <c r="L522">
        <f t="shared" si="17"/>
        <v>89250</v>
      </c>
    </row>
    <row r="523" spans="1:12" x14ac:dyDescent="0.3">
      <c r="A523" t="s">
        <v>580</v>
      </c>
      <c r="B523" s="2">
        <v>45727</v>
      </c>
      <c r="C523" t="s">
        <v>63</v>
      </c>
      <c r="D523" t="s">
        <v>39</v>
      </c>
      <c r="E523" t="s">
        <v>35</v>
      </c>
      <c r="F523" t="s">
        <v>21</v>
      </c>
      <c r="G523" t="s">
        <v>40</v>
      </c>
      <c r="H523">
        <v>19</v>
      </c>
      <c r="I523">
        <v>5000</v>
      </c>
      <c r="J523">
        <f t="shared" si="16"/>
        <v>95000</v>
      </c>
      <c r="K523">
        <f>J523*0.74</f>
        <v>70300</v>
      </c>
      <c r="L523">
        <f t="shared" si="17"/>
        <v>24700</v>
      </c>
    </row>
    <row r="524" spans="1:12" x14ac:dyDescent="0.3">
      <c r="A524" t="s">
        <v>581</v>
      </c>
      <c r="B524" s="2">
        <v>45884</v>
      </c>
      <c r="C524" t="s">
        <v>57</v>
      </c>
      <c r="D524" t="s">
        <v>14</v>
      </c>
      <c r="E524" t="s">
        <v>30</v>
      </c>
      <c r="F524" t="s">
        <v>26</v>
      </c>
      <c r="G524" t="s">
        <v>111</v>
      </c>
      <c r="H524">
        <v>11</v>
      </c>
      <c r="I524">
        <v>85000</v>
      </c>
      <c r="J524">
        <f t="shared" si="16"/>
        <v>935000</v>
      </c>
      <c r="K524">
        <f>J524*0.84</f>
        <v>785400</v>
      </c>
      <c r="L524">
        <f t="shared" si="17"/>
        <v>149600</v>
      </c>
    </row>
    <row r="525" spans="1:12" x14ac:dyDescent="0.3">
      <c r="A525" t="s">
        <v>582</v>
      </c>
      <c r="B525" s="2">
        <v>45754</v>
      </c>
      <c r="C525" t="s">
        <v>59</v>
      </c>
      <c r="D525" t="s">
        <v>19</v>
      </c>
      <c r="E525" t="s">
        <v>46</v>
      </c>
      <c r="F525" t="s">
        <v>26</v>
      </c>
      <c r="G525" t="s">
        <v>127</v>
      </c>
      <c r="H525">
        <v>10</v>
      </c>
      <c r="I525">
        <v>1500</v>
      </c>
      <c r="J525">
        <f t="shared" si="16"/>
        <v>15000</v>
      </c>
      <c r="K525">
        <f>J525*0.7</f>
        <v>10500</v>
      </c>
      <c r="L525">
        <f t="shared" si="17"/>
        <v>4500</v>
      </c>
    </row>
    <row r="526" spans="1:12" x14ac:dyDescent="0.3">
      <c r="A526" t="s">
        <v>583</v>
      </c>
      <c r="B526" s="2">
        <v>45790</v>
      </c>
      <c r="C526" t="s">
        <v>48</v>
      </c>
      <c r="D526" t="s">
        <v>25</v>
      </c>
      <c r="E526" t="s">
        <v>20</v>
      </c>
      <c r="F526" t="s">
        <v>21</v>
      </c>
      <c r="G526" t="s">
        <v>22</v>
      </c>
      <c r="H526">
        <v>10</v>
      </c>
      <c r="I526">
        <v>15000</v>
      </c>
      <c r="J526">
        <f t="shared" si="16"/>
        <v>150000</v>
      </c>
      <c r="K526">
        <f>J526*0.75</f>
        <v>112500</v>
      </c>
      <c r="L526">
        <f t="shared" si="17"/>
        <v>37500</v>
      </c>
    </row>
    <row r="527" spans="1:12" x14ac:dyDescent="0.3">
      <c r="A527" t="s">
        <v>584</v>
      </c>
      <c r="B527" s="2">
        <v>45981</v>
      </c>
      <c r="C527" t="s">
        <v>32</v>
      </c>
      <c r="D527" t="s">
        <v>51</v>
      </c>
      <c r="E527" t="s">
        <v>20</v>
      </c>
      <c r="F527" t="s">
        <v>26</v>
      </c>
      <c r="G527" t="s">
        <v>111</v>
      </c>
      <c r="H527">
        <v>5</v>
      </c>
      <c r="I527">
        <v>85000</v>
      </c>
      <c r="J527">
        <f t="shared" si="16"/>
        <v>425000</v>
      </c>
      <c r="K527">
        <f>J527*0.75</f>
        <v>318750</v>
      </c>
      <c r="L527">
        <f t="shared" si="17"/>
        <v>106250</v>
      </c>
    </row>
    <row r="528" spans="1:12" x14ac:dyDescent="0.3">
      <c r="A528" t="s">
        <v>585</v>
      </c>
      <c r="B528" s="2">
        <v>45880</v>
      </c>
      <c r="C528" t="s">
        <v>57</v>
      </c>
      <c r="D528" t="s">
        <v>86</v>
      </c>
      <c r="E528" t="s">
        <v>15</v>
      </c>
      <c r="F528" t="s">
        <v>21</v>
      </c>
      <c r="G528" t="s">
        <v>54</v>
      </c>
      <c r="H528">
        <v>6</v>
      </c>
      <c r="I528">
        <v>18000</v>
      </c>
      <c r="J528">
        <f t="shared" si="16"/>
        <v>108000</v>
      </c>
      <c r="K528">
        <f>J528*0.81</f>
        <v>87480</v>
      </c>
      <c r="L528">
        <f t="shared" si="17"/>
        <v>20520</v>
      </c>
    </row>
    <row r="529" spans="1:12" x14ac:dyDescent="0.3">
      <c r="A529" t="s">
        <v>586</v>
      </c>
      <c r="B529" s="2">
        <v>45749</v>
      </c>
      <c r="C529" t="s">
        <v>59</v>
      </c>
      <c r="D529" t="s">
        <v>83</v>
      </c>
      <c r="E529" t="s">
        <v>20</v>
      </c>
      <c r="F529" t="s">
        <v>26</v>
      </c>
      <c r="G529" t="s">
        <v>94</v>
      </c>
      <c r="H529">
        <v>15</v>
      </c>
      <c r="I529">
        <v>28000</v>
      </c>
      <c r="J529">
        <f t="shared" si="16"/>
        <v>420000</v>
      </c>
      <c r="K529">
        <f>J529*0.73</f>
        <v>306600</v>
      </c>
      <c r="L529">
        <f t="shared" si="17"/>
        <v>113400</v>
      </c>
    </row>
    <row r="530" spans="1:12" x14ac:dyDescent="0.3">
      <c r="A530" t="s">
        <v>587</v>
      </c>
      <c r="B530" s="2">
        <v>45791</v>
      </c>
      <c r="C530" t="s">
        <v>48</v>
      </c>
      <c r="D530" t="s">
        <v>51</v>
      </c>
      <c r="E530" t="s">
        <v>46</v>
      </c>
      <c r="F530" t="s">
        <v>16</v>
      </c>
      <c r="G530" t="s">
        <v>36</v>
      </c>
      <c r="H530">
        <v>8</v>
      </c>
      <c r="I530">
        <v>150</v>
      </c>
      <c r="J530">
        <f t="shared" si="16"/>
        <v>1200</v>
      </c>
      <c r="K530">
        <f>J530*0.82</f>
        <v>983.99999999999989</v>
      </c>
      <c r="L530">
        <f t="shared" si="17"/>
        <v>216.00000000000011</v>
      </c>
    </row>
    <row r="531" spans="1:12" x14ac:dyDescent="0.3">
      <c r="A531" t="s">
        <v>588</v>
      </c>
      <c r="B531" s="2">
        <v>45852</v>
      </c>
      <c r="C531" t="s">
        <v>76</v>
      </c>
      <c r="D531" t="s">
        <v>33</v>
      </c>
      <c r="E531" t="s">
        <v>46</v>
      </c>
      <c r="F531" t="s">
        <v>26</v>
      </c>
      <c r="G531" t="s">
        <v>127</v>
      </c>
      <c r="H531">
        <v>8</v>
      </c>
      <c r="I531">
        <v>1500</v>
      </c>
      <c r="J531">
        <f t="shared" si="16"/>
        <v>12000</v>
      </c>
      <c r="K531">
        <f>J531*0.79</f>
        <v>9480</v>
      </c>
      <c r="L531">
        <f t="shared" si="17"/>
        <v>2520</v>
      </c>
    </row>
    <row r="532" spans="1:12" x14ac:dyDescent="0.3">
      <c r="A532" t="s">
        <v>589</v>
      </c>
      <c r="B532" s="2">
        <v>45754</v>
      </c>
      <c r="C532" t="s">
        <v>59</v>
      </c>
      <c r="D532" t="s">
        <v>14</v>
      </c>
      <c r="E532" t="s">
        <v>46</v>
      </c>
      <c r="F532" t="s">
        <v>16</v>
      </c>
      <c r="G532" t="s">
        <v>17</v>
      </c>
      <c r="H532">
        <v>12</v>
      </c>
      <c r="I532">
        <v>300</v>
      </c>
      <c r="J532">
        <f t="shared" si="16"/>
        <v>3600</v>
      </c>
      <c r="K532">
        <f>J532*0.74</f>
        <v>2664</v>
      </c>
      <c r="L532">
        <f t="shared" si="17"/>
        <v>936</v>
      </c>
    </row>
    <row r="533" spans="1:12" x14ac:dyDescent="0.3">
      <c r="A533" t="s">
        <v>590</v>
      </c>
      <c r="B533" s="2">
        <v>45703</v>
      </c>
      <c r="C533" t="s">
        <v>50</v>
      </c>
      <c r="D533" t="s">
        <v>33</v>
      </c>
      <c r="E533" t="s">
        <v>35</v>
      </c>
      <c r="F533" t="s">
        <v>26</v>
      </c>
      <c r="G533" t="s">
        <v>127</v>
      </c>
      <c r="H533">
        <v>14</v>
      </c>
      <c r="I533">
        <v>1500</v>
      </c>
      <c r="J533">
        <f t="shared" si="16"/>
        <v>21000</v>
      </c>
      <c r="K533">
        <f>J533*0.75</f>
        <v>15750</v>
      </c>
      <c r="L533">
        <f t="shared" si="17"/>
        <v>5250</v>
      </c>
    </row>
    <row r="534" spans="1:12" x14ac:dyDescent="0.3">
      <c r="A534" t="s">
        <v>591</v>
      </c>
      <c r="B534" s="2">
        <v>45720</v>
      </c>
      <c r="C534" t="s">
        <v>63</v>
      </c>
      <c r="D534" t="s">
        <v>72</v>
      </c>
      <c r="E534" t="s">
        <v>46</v>
      </c>
      <c r="F534" t="s">
        <v>16</v>
      </c>
      <c r="G534" t="s">
        <v>78</v>
      </c>
      <c r="H534">
        <v>17</v>
      </c>
      <c r="I534">
        <v>800</v>
      </c>
      <c r="J534">
        <f t="shared" si="16"/>
        <v>13600</v>
      </c>
      <c r="K534">
        <f>J534*0.78</f>
        <v>10608</v>
      </c>
      <c r="L534">
        <f t="shared" si="17"/>
        <v>2992</v>
      </c>
    </row>
    <row r="535" spans="1:12" x14ac:dyDescent="0.3">
      <c r="A535" t="s">
        <v>592</v>
      </c>
      <c r="B535" s="2">
        <v>45761</v>
      </c>
      <c r="C535" t="s">
        <v>59</v>
      </c>
      <c r="D535" t="s">
        <v>51</v>
      </c>
      <c r="E535" t="s">
        <v>20</v>
      </c>
      <c r="F535" t="s">
        <v>26</v>
      </c>
      <c r="G535" t="s">
        <v>27</v>
      </c>
      <c r="H535">
        <v>4</v>
      </c>
      <c r="I535">
        <v>45000</v>
      </c>
      <c r="J535">
        <f t="shared" si="16"/>
        <v>180000</v>
      </c>
      <c r="K535">
        <f>J535*0.79</f>
        <v>142200</v>
      </c>
      <c r="L535">
        <f t="shared" si="17"/>
        <v>37800</v>
      </c>
    </row>
    <row r="536" spans="1:12" x14ac:dyDescent="0.3">
      <c r="A536" t="s">
        <v>593</v>
      </c>
      <c r="B536" s="2">
        <v>45734</v>
      </c>
      <c r="C536" t="s">
        <v>63</v>
      </c>
      <c r="D536" t="s">
        <v>19</v>
      </c>
      <c r="E536" t="s">
        <v>20</v>
      </c>
      <c r="F536" t="s">
        <v>21</v>
      </c>
      <c r="G536" t="s">
        <v>22</v>
      </c>
      <c r="H536">
        <v>16</v>
      </c>
      <c r="I536">
        <v>15000</v>
      </c>
      <c r="J536">
        <f t="shared" si="16"/>
        <v>240000</v>
      </c>
      <c r="K536">
        <f>J536*0.82</f>
        <v>196800</v>
      </c>
      <c r="L536">
        <f t="shared" si="17"/>
        <v>43200</v>
      </c>
    </row>
    <row r="537" spans="1:12" x14ac:dyDescent="0.3">
      <c r="A537" t="s">
        <v>594</v>
      </c>
      <c r="B537" s="2">
        <v>45892</v>
      </c>
      <c r="C537" t="s">
        <v>57</v>
      </c>
      <c r="D537" t="s">
        <v>19</v>
      </c>
      <c r="E537" t="s">
        <v>20</v>
      </c>
      <c r="F537" t="s">
        <v>16</v>
      </c>
      <c r="G537" t="s">
        <v>17</v>
      </c>
      <c r="H537">
        <v>8</v>
      </c>
      <c r="I537">
        <v>300</v>
      </c>
      <c r="J537">
        <f t="shared" si="16"/>
        <v>2400</v>
      </c>
      <c r="K537">
        <f>J537*0.75</f>
        <v>1800</v>
      </c>
      <c r="L537">
        <f t="shared" si="17"/>
        <v>600</v>
      </c>
    </row>
    <row r="538" spans="1:12" x14ac:dyDescent="0.3">
      <c r="A538" t="s">
        <v>595</v>
      </c>
      <c r="B538" s="2">
        <v>45790</v>
      </c>
      <c r="C538" t="s">
        <v>48</v>
      </c>
      <c r="D538" t="s">
        <v>51</v>
      </c>
      <c r="E538" t="s">
        <v>35</v>
      </c>
      <c r="F538" t="s">
        <v>26</v>
      </c>
      <c r="G538" t="s">
        <v>127</v>
      </c>
      <c r="H538">
        <v>20</v>
      </c>
      <c r="I538">
        <v>1500</v>
      </c>
      <c r="J538">
        <f t="shared" si="16"/>
        <v>30000</v>
      </c>
      <c r="K538">
        <f>J538*0.74</f>
        <v>22200</v>
      </c>
      <c r="L538">
        <f t="shared" si="17"/>
        <v>7800</v>
      </c>
    </row>
    <row r="539" spans="1:12" x14ac:dyDescent="0.3">
      <c r="A539" t="s">
        <v>596</v>
      </c>
      <c r="B539" s="2">
        <v>45974</v>
      </c>
      <c r="C539" t="s">
        <v>32</v>
      </c>
      <c r="D539" t="s">
        <v>14</v>
      </c>
      <c r="E539" t="s">
        <v>46</v>
      </c>
      <c r="F539" t="s">
        <v>26</v>
      </c>
      <c r="G539" t="s">
        <v>94</v>
      </c>
      <c r="H539">
        <v>18</v>
      </c>
      <c r="I539">
        <v>28000</v>
      </c>
      <c r="J539">
        <f t="shared" si="16"/>
        <v>504000</v>
      </c>
      <c r="K539">
        <f>J539*0.81</f>
        <v>408240</v>
      </c>
      <c r="L539">
        <f t="shared" si="17"/>
        <v>95760</v>
      </c>
    </row>
    <row r="540" spans="1:12" x14ac:dyDescent="0.3">
      <c r="A540" t="s">
        <v>597</v>
      </c>
      <c r="B540" s="2">
        <v>45811</v>
      </c>
      <c r="C540" t="s">
        <v>43</v>
      </c>
      <c r="D540" t="s">
        <v>72</v>
      </c>
      <c r="E540" t="s">
        <v>30</v>
      </c>
      <c r="F540" t="s">
        <v>16</v>
      </c>
      <c r="G540" t="s">
        <v>92</v>
      </c>
      <c r="H540">
        <v>11</v>
      </c>
      <c r="I540">
        <v>1200</v>
      </c>
      <c r="J540">
        <f t="shared" si="16"/>
        <v>13200</v>
      </c>
      <c r="K540">
        <f>J540*0.85</f>
        <v>11220</v>
      </c>
      <c r="L540">
        <f t="shared" si="17"/>
        <v>1980</v>
      </c>
    </row>
    <row r="541" spans="1:12" x14ac:dyDescent="0.3">
      <c r="A541" t="s">
        <v>598</v>
      </c>
      <c r="B541" s="2">
        <v>45909</v>
      </c>
      <c r="C541" t="s">
        <v>13</v>
      </c>
      <c r="D541" t="s">
        <v>83</v>
      </c>
      <c r="E541" t="s">
        <v>35</v>
      </c>
      <c r="F541" t="s">
        <v>26</v>
      </c>
      <c r="G541" t="s">
        <v>94</v>
      </c>
      <c r="H541">
        <v>7</v>
      </c>
      <c r="I541">
        <v>28000</v>
      </c>
      <c r="J541">
        <f t="shared" si="16"/>
        <v>196000</v>
      </c>
      <c r="K541">
        <f>J541*0.76</f>
        <v>148960</v>
      </c>
      <c r="L541">
        <f t="shared" si="17"/>
        <v>47040</v>
      </c>
    </row>
    <row r="542" spans="1:12" x14ac:dyDescent="0.3">
      <c r="A542" t="s">
        <v>599</v>
      </c>
      <c r="B542" s="2">
        <v>45882</v>
      </c>
      <c r="C542" t="s">
        <v>57</v>
      </c>
      <c r="D542" t="s">
        <v>39</v>
      </c>
      <c r="E542" t="s">
        <v>35</v>
      </c>
      <c r="F542" t="s">
        <v>21</v>
      </c>
      <c r="G542" t="s">
        <v>54</v>
      </c>
      <c r="H542">
        <v>19</v>
      </c>
      <c r="I542">
        <v>18000</v>
      </c>
      <c r="J542">
        <f t="shared" si="16"/>
        <v>342000</v>
      </c>
      <c r="K542">
        <f>J542*0.79</f>
        <v>270180</v>
      </c>
      <c r="L542">
        <f t="shared" si="17"/>
        <v>71820</v>
      </c>
    </row>
    <row r="543" spans="1:12" x14ac:dyDescent="0.3">
      <c r="A543" t="s">
        <v>600</v>
      </c>
      <c r="B543" s="2">
        <v>45684</v>
      </c>
      <c r="C543" t="s">
        <v>29</v>
      </c>
      <c r="D543" t="s">
        <v>33</v>
      </c>
      <c r="E543" t="s">
        <v>46</v>
      </c>
      <c r="F543" t="s">
        <v>21</v>
      </c>
      <c r="G543" t="s">
        <v>40</v>
      </c>
      <c r="H543">
        <v>17</v>
      </c>
      <c r="I543">
        <v>5000</v>
      </c>
      <c r="J543">
        <f t="shared" si="16"/>
        <v>85000</v>
      </c>
      <c r="K543">
        <f>J543*0.82</f>
        <v>69700</v>
      </c>
      <c r="L543">
        <f t="shared" si="17"/>
        <v>15300</v>
      </c>
    </row>
    <row r="544" spans="1:12" x14ac:dyDescent="0.3">
      <c r="A544" t="s">
        <v>601</v>
      </c>
      <c r="B544" s="2">
        <v>45676</v>
      </c>
      <c r="C544" t="s">
        <v>29</v>
      </c>
      <c r="D544" t="s">
        <v>83</v>
      </c>
      <c r="E544" t="s">
        <v>30</v>
      </c>
      <c r="F544" t="s">
        <v>26</v>
      </c>
      <c r="G544" t="s">
        <v>27</v>
      </c>
      <c r="H544">
        <v>6</v>
      </c>
      <c r="I544">
        <v>45000</v>
      </c>
      <c r="J544">
        <f t="shared" si="16"/>
        <v>270000</v>
      </c>
      <c r="K544">
        <f>J544*0.82</f>
        <v>221400</v>
      </c>
      <c r="L544">
        <f t="shared" si="17"/>
        <v>48600</v>
      </c>
    </row>
    <row r="545" spans="1:12" x14ac:dyDescent="0.3">
      <c r="A545" t="s">
        <v>602</v>
      </c>
      <c r="B545" s="2">
        <v>45669</v>
      </c>
      <c r="C545" t="s">
        <v>29</v>
      </c>
      <c r="D545" t="s">
        <v>72</v>
      </c>
      <c r="E545" t="s">
        <v>15</v>
      </c>
      <c r="F545" t="s">
        <v>16</v>
      </c>
      <c r="G545" t="s">
        <v>92</v>
      </c>
      <c r="H545">
        <v>10</v>
      </c>
      <c r="I545">
        <v>1200</v>
      </c>
      <c r="J545">
        <f t="shared" si="16"/>
        <v>12000</v>
      </c>
      <c r="K545">
        <f>J545*0.76</f>
        <v>9120</v>
      </c>
      <c r="L545">
        <f t="shared" si="17"/>
        <v>2880</v>
      </c>
    </row>
    <row r="546" spans="1:12" x14ac:dyDescent="0.3">
      <c r="A546" t="s">
        <v>603</v>
      </c>
      <c r="B546" s="2">
        <v>45794</v>
      </c>
      <c r="C546" t="s">
        <v>48</v>
      </c>
      <c r="D546" t="s">
        <v>14</v>
      </c>
      <c r="E546" t="s">
        <v>46</v>
      </c>
      <c r="F546" t="s">
        <v>26</v>
      </c>
      <c r="G546" t="s">
        <v>27</v>
      </c>
      <c r="H546">
        <v>19</v>
      </c>
      <c r="I546">
        <v>45000</v>
      </c>
      <c r="J546">
        <f t="shared" si="16"/>
        <v>855000</v>
      </c>
      <c r="K546">
        <f>J546*0.73</f>
        <v>624150</v>
      </c>
      <c r="L546">
        <f t="shared" si="17"/>
        <v>230850</v>
      </c>
    </row>
    <row r="547" spans="1:12" x14ac:dyDescent="0.3">
      <c r="A547" t="s">
        <v>604</v>
      </c>
      <c r="B547" s="2">
        <v>46022</v>
      </c>
      <c r="C547" t="s">
        <v>24</v>
      </c>
      <c r="D547" t="s">
        <v>72</v>
      </c>
      <c r="E547" t="s">
        <v>46</v>
      </c>
      <c r="F547" t="s">
        <v>16</v>
      </c>
      <c r="G547" t="s">
        <v>92</v>
      </c>
      <c r="H547">
        <v>8</v>
      </c>
      <c r="I547">
        <v>1200</v>
      </c>
      <c r="J547">
        <f t="shared" si="16"/>
        <v>9600</v>
      </c>
      <c r="K547">
        <f>J547*0.78</f>
        <v>7488</v>
      </c>
      <c r="L547">
        <f t="shared" si="17"/>
        <v>2112</v>
      </c>
    </row>
    <row r="548" spans="1:12" x14ac:dyDescent="0.3">
      <c r="A548" t="s">
        <v>605</v>
      </c>
      <c r="B548" s="2">
        <v>46019</v>
      </c>
      <c r="C548" t="s">
        <v>24</v>
      </c>
      <c r="D548" t="s">
        <v>14</v>
      </c>
      <c r="E548" t="s">
        <v>35</v>
      </c>
      <c r="F548" t="s">
        <v>26</v>
      </c>
      <c r="G548" t="s">
        <v>44</v>
      </c>
      <c r="H548">
        <v>11</v>
      </c>
      <c r="I548">
        <v>25000</v>
      </c>
      <c r="J548">
        <f t="shared" si="16"/>
        <v>275000</v>
      </c>
      <c r="K548">
        <f>J548*0.76</f>
        <v>209000</v>
      </c>
      <c r="L548">
        <f t="shared" si="17"/>
        <v>66000</v>
      </c>
    </row>
    <row r="549" spans="1:12" x14ac:dyDescent="0.3">
      <c r="A549" t="s">
        <v>606</v>
      </c>
      <c r="B549" s="2">
        <v>45701</v>
      </c>
      <c r="C549" t="s">
        <v>50</v>
      </c>
      <c r="D549" t="s">
        <v>39</v>
      </c>
      <c r="E549" t="s">
        <v>30</v>
      </c>
      <c r="F549" t="s">
        <v>16</v>
      </c>
      <c r="G549" t="s">
        <v>78</v>
      </c>
      <c r="H549">
        <v>17</v>
      </c>
      <c r="I549">
        <v>800</v>
      </c>
      <c r="J549">
        <f t="shared" si="16"/>
        <v>13600</v>
      </c>
      <c r="K549">
        <f>J549*0.74</f>
        <v>10064</v>
      </c>
      <c r="L549">
        <f t="shared" si="17"/>
        <v>3536</v>
      </c>
    </row>
    <row r="550" spans="1:12" x14ac:dyDescent="0.3">
      <c r="A550" t="s">
        <v>607</v>
      </c>
      <c r="B550" s="2">
        <v>45785</v>
      </c>
      <c r="C550" t="s">
        <v>48</v>
      </c>
      <c r="D550" t="s">
        <v>83</v>
      </c>
      <c r="E550" t="s">
        <v>30</v>
      </c>
      <c r="F550" t="s">
        <v>26</v>
      </c>
      <c r="G550" t="s">
        <v>52</v>
      </c>
      <c r="H550">
        <v>2</v>
      </c>
      <c r="I550">
        <v>35000</v>
      </c>
      <c r="J550">
        <f t="shared" si="16"/>
        <v>70000</v>
      </c>
      <c r="K550">
        <f>J550*0.75</f>
        <v>52500</v>
      </c>
      <c r="L550">
        <f t="shared" si="17"/>
        <v>17500</v>
      </c>
    </row>
    <row r="551" spans="1:12" x14ac:dyDescent="0.3">
      <c r="A551" t="s">
        <v>608</v>
      </c>
      <c r="B551" s="2">
        <v>45700</v>
      </c>
      <c r="C551" t="s">
        <v>50</v>
      </c>
      <c r="D551" t="s">
        <v>19</v>
      </c>
      <c r="E551" t="s">
        <v>35</v>
      </c>
      <c r="F551" t="s">
        <v>16</v>
      </c>
      <c r="G551" t="s">
        <v>36</v>
      </c>
      <c r="H551">
        <v>3</v>
      </c>
      <c r="I551">
        <v>150</v>
      </c>
      <c r="J551">
        <f t="shared" si="16"/>
        <v>450</v>
      </c>
      <c r="K551">
        <f>J551*0.74</f>
        <v>333</v>
      </c>
      <c r="L551">
        <f t="shared" si="17"/>
        <v>117</v>
      </c>
    </row>
    <row r="552" spans="1:12" x14ac:dyDescent="0.3">
      <c r="A552" t="s">
        <v>609</v>
      </c>
      <c r="B552" s="2">
        <v>46017</v>
      </c>
      <c r="C552" t="s">
        <v>24</v>
      </c>
      <c r="D552" t="s">
        <v>19</v>
      </c>
      <c r="E552" t="s">
        <v>35</v>
      </c>
      <c r="F552" t="s">
        <v>16</v>
      </c>
      <c r="G552" t="s">
        <v>78</v>
      </c>
      <c r="H552">
        <v>8</v>
      </c>
      <c r="I552">
        <v>800</v>
      </c>
      <c r="J552">
        <f t="shared" si="16"/>
        <v>6400</v>
      </c>
      <c r="K552">
        <f>J552*0.73</f>
        <v>4672</v>
      </c>
      <c r="L552">
        <f t="shared" si="17"/>
        <v>1728</v>
      </c>
    </row>
    <row r="553" spans="1:12" x14ac:dyDescent="0.3">
      <c r="A553" t="s">
        <v>610</v>
      </c>
      <c r="B553" s="2">
        <v>45868</v>
      </c>
      <c r="C553" t="s">
        <v>76</v>
      </c>
      <c r="D553" t="s">
        <v>86</v>
      </c>
      <c r="E553" t="s">
        <v>35</v>
      </c>
      <c r="F553" t="s">
        <v>21</v>
      </c>
      <c r="G553" t="s">
        <v>54</v>
      </c>
      <c r="H553">
        <v>10</v>
      </c>
      <c r="I553">
        <v>18000</v>
      </c>
      <c r="J553">
        <f t="shared" si="16"/>
        <v>180000</v>
      </c>
      <c r="K553">
        <f>J553*0.74</f>
        <v>133200</v>
      </c>
      <c r="L553">
        <f t="shared" si="17"/>
        <v>46800</v>
      </c>
    </row>
    <row r="554" spans="1:12" x14ac:dyDescent="0.3">
      <c r="A554" t="s">
        <v>611</v>
      </c>
      <c r="B554" s="2">
        <v>45871</v>
      </c>
      <c r="C554" t="s">
        <v>57</v>
      </c>
      <c r="D554" t="s">
        <v>51</v>
      </c>
      <c r="E554" t="s">
        <v>15</v>
      </c>
      <c r="F554" t="s">
        <v>21</v>
      </c>
      <c r="G554" t="s">
        <v>74</v>
      </c>
      <c r="H554">
        <v>16</v>
      </c>
      <c r="I554">
        <v>12000</v>
      </c>
      <c r="J554">
        <f t="shared" si="16"/>
        <v>192000</v>
      </c>
      <c r="K554">
        <f>J554*0.77</f>
        <v>147840</v>
      </c>
      <c r="L554">
        <f t="shared" si="17"/>
        <v>44160</v>
      </c>
    </row>
    <row r="555" spans="1:12" x14ac:dyDescent="0.3">
      <c r="A555" t="s">
        <v>612</v>
      </c>
      <c r="B555" s="2">
        <v>45991</v>
      </c>
      <c r="C555" t="s">
        <v>32</v>
      </c>
      <c r="D555" t="s">
        <v>39</v>
      </c>
      <c r="E555" t="s">
        <v>20</v>
      </c>
      <c r="F555" t="s">
        <v>16</v>
      </c>
      <c r="G555" t="s">
        <v>17</v>
      </c>
      <c r="H555">
        <v>20</v>
      </c>
      <c r="I555">
        <v>300</v>
      </c>
      <c r="J555">
        <f t="shared" si="16"/>
        <v>6000</v>
      </c>
      <c r="K555">
        <f>J555*0.74</f>
        <v>4440</v>
      </c>
      <c r="L555">
        <f t="shared" si="17"/>
        <v>1560</v>
      </c>
    </row>
    <row r="556" spans="1:12" x14ac:dyDescent="0.3">
      <c r="A556" t="s">
        <v>613</v>
      </c>
      <c r="B556" s="2">
        <v>45719</v>
      </c>
      <c r="C556" t="s">
        <v>63</v>
      </c>
      <c r="D556" t="s">
        <v>51</v>
      </c>
      <c r="E556" t="s">
        <v>46</v>
      </c>
      <c r="F556" t="s">
        <v>16</v>
      </c>
      <c r="G556" t="s">
        <v>78</v>
      </c>
      <c r="H556">
        <v>13</v>
      </c>
      <c r="I556">
        <v>800</v>
      </c>
      <c r="J556">
        <f t="shared" si="16"/>
        <v>10400</v>
      </c>
      <c r="K556">
        <f>J556*0.79</f>
        <v>8216</v>
      </c>
      <c r="L556">
        <f t="shared" si="17"/>
        <v>2184</v>
      </c>
    </row>
    <row r="557" spans="1:12" x14ac:dyDescent="0.3">
      <c r="A557" t="s">
        <v>614</v>
      </c>
      <c r="B557" s="2">
        <v>45986</v>
      </c>
      <c r="C557" t="s">
        <v>32</v>
      </c>
      <c r="D557" t="s">
        <v>51</v>
      </c>
      <c r="E557" t="s">
        <v>35</v>
      </c>
      <c r="F557" t="s">
        <v>21</v>
      </c>
      <c r="G557" t="s">
        <v>65</v>
      </c>
      <c r="H557">
        <v>18</v>
      </c>
      <c r="I557">
        <v>22000</v>
      </c>
      <c r="J557">
        <f t="shared" si="16"/>
        <v>396000</v>
      </c>
      <c r="K557">
        <f>J557*0.75</f>
        <v>297000</v>
      </c>
      <c r="L557">
        <f t="shared" si="17"/>
        <v>99000</v>
      </c>
    </row>
    <row r="558" spans="1:12" x14ac:dyDescent="0.3">
      <c r="A558" t="s">
        <v>615</v>
      </c>
      <c r="B558" s="2">
        <v>45950</v>
      </c>
      <c r="C558" t="s">
        <v>38</v>
      </c>
      <c r="D558" t="s">
        <v>33</v>
      </c>
      <c r="E558" t="s">
        <v>15</v>
      </c>
      <c r="F558" t="s">
        <v>21</v>
      </c>
      <c r="G558" t="s">
        <v>54</v>
      </c>
      <c r="H558">
        <v>5</v>
      </c>
      <c r="I558">
        <v>18000</v>
      </c>
      <c r="J558">
        <f t="shared" si="16"/>
        <v>90000</v>
      </c>
      <c r="K558">
        <f>J558*0.72</f>
        <v>64800</v>
      </c>
      <c r="L558">
        <f t="shared" si="17"/>
        <v>25200</v>
      </c>
    </row>
    <row r="559" spans="1:12" x14ac:dyDescent="0.3">
      <c r="A559" t="s">
        <v>616</v>
      </c>
      <c r="B559" s="2">
        <v>45996</v>
      </c>
      <c r="C559" t="s">
        <v>24</v>
      </c>
      <c r="D559" t="s">
        <v>33</v>
      </c>
      <c r="E559" t="s">
        <v>46</v>
      </c>
      <c r="F559" t="s">
        <v>21</v>
      </c>
      <c r="G559" t="s">
        <v>65</v>
      </c>
      <c r="H559">
        <v>18</v>
      </c>
      <c r="I559">
        <v>22000</v>
      </c>
      <c r="J559">
        <f t="shared" si="16"/>
        <v>396000</v>
      </c>
      <c r="K559">
        <f>J559*0.84</f>
        <v>332640</v>
      </c>
      <c r="L559">
        <f t="shared" si="17"/>
        <v>63360</v>
      </c>
    </row>
    <row r="560" spans="1:12" x14ac:dyDescent="0.3">
      <c r="A560" t="s">
        <v>617</v>
      </c>
      <c r="B560" s="2">
        <v>45660</v>
      </c>
      <c r="C560" t="s">
        <v>29</v>
      </c>
      <c r="D560" t="s">
        <v>19</v>
      </c>
      <c r="E560" t="s">
        <v>20</v>
      </c>
      <c r="F560" t="s">
        <v>16</v>
      </c>
      <c r="G560" t="s">
        <v>60</v>
      </c>
      <c r="H560">
        <v>14</v>
      </c>
      <c r="I560">
        <v>250</v>
      </c>
      <c r="J560">
        <f t="shared" si="16"/>
        <v>3500</v>
      </c>
      <c r="K560">
        <f>J560*0.84</f>
        <v>2940</v>
      </c>
      <c r="L560">
        <f t="shared" si="17"/>
        <v>560</v>
      </c>
    </row>
    <row r="561" spans="1:12" x14ac:dyDescent="0.3">
      <c r="A561" t="s">
        <v>618</v>
      </c>
      <c r="B561" s="2">
        <v>46013</v>
      </c>
      <c r="C561" t="s">
        <v>24</v>
      </c>
      <c r="D561" t="s">
        <v>33</v>
      </c>
      <c r="E561" t="s">
        <v>46</v>
      </c>
      <c r="F561" t="s">
        <v>16</v>
      </c>
      <c r="G561" t="s">
        <v>17</v>
      </c>
      <c r="H561">
        <v>6</v>
      </c>
      <c r="I561">
        <v>300</v>
      </c>
      <c r="J561">
        <f t="shared" si="16"/>
        <v>1800</v>
      </c>
      <c r="K561">
        <f>J561*0.81</f>
        <v>1458</v>
      </c>
      <c r="L561">
        <f t="shared" si="17"/>
        <v>342</v>
      </c>
    </row>
    <row r="562" spans="1:12" x14ac:dyDescent="0.3">
      <c r="A562" t="s">
        <v>619</v>
      </c>
      <c r="B562" s="2">
        <v>45690</v>
      </c>
      <c r="C562" t="s">
        <v>50</v>
      </c>
      <c r="D562" t="s">
        <v>83</v>
      </c>
      <c r="E562" t="s">
        <v>15</v>
      </c>
      <c r="F562" t="s">
        <v>26</v>
      </c>
      <c r="G562" t="s">
        <v>111</v>
      </c>
      <c r="H562">
        <v>18</v>
      </c>
      <c r="I562">
        <v>85000</v>
      </c>
      <c r="J562">
        <f t="shared" si="16"/>
        <v>1530000</v>
      </c>
      <c r="K562">
        <f>J562*0.76</f>
        <v>1162800</v>
      </c>
      <c r="L562">
        <f t="shared" si="17"/>
        <v>367200</v>
      </c>
    </row>
    <row r="563" spans="1:12" x14ac:dyDescent="0.3">
      <c r="A563" t="s">
        <v>620</v>
      </c>
      <c r="B563" s="2">
        <v>45849</v>
      </c>
      <c r="C563" t="s">
        <v>76</v>
      </c>
      <c r="D563" t="s">
        <v>33</v>
      </c>
      <c r="E563" t="s">
        <v>35</v>
      </c>
      <c r="F563" t="s">
        <v>16</v>
      </c>
      <c r="G563" t="s">
        <v>60</v>
      </c>
      <c r="H563">
        <v>12</v>
      </c>
      <c r="I563">
        <v>250</v>
      </c>
      <c r="J563">
        <f t="shared" si="16"/>
        <v>3000</v>
      </c>
      <c r="K563">
        <f>J563*0.77</f>
        <v>2310</v>
      </c>
      <c r="L563">
        <f t="shared" si="17"/>
        <v>690</v>
      </c>
    </row>
    <row r="564" spans="1:12" x14ac:dyDescent="0.3">
      <c r="A564" t="s">
        <v>621</v>
      </c>
      <c r="B564" s="2">
        <v>45834</v>
      </c>
      <c r="C564" t="s">
        <v>43</v>
      </c>
      <c r="D564" t="s">
        <v>25</v>
      </c>
      <c r="E564" t="s">
        <v>46</v>
      </c>
      <c r="F564" t="s">
        <v>26</v>
      </c>
      <c r="G564" t="s">
        <v>94</v>
      </c>
      <c r="H564">
        <v>11</v>
      </c>
      <c r="I564">
        <v>28000</v>
      </c>
      <c r="J564">
        <f t="shared" si="16"/>
        <v>308000</v>
      </c>
      <c r="K564">
        <f>J564*0.74</f>
        <v>227920</v>
      </c>
      <c r="L564">
        <f t="shared" si="17"/>
        <v>80080</v>
      </c>
    </row>
    <row r="565" spans="1:12" x14ac:dyDescent="0.3">
      <c r="A565" t="s">
        <v>622</v>
      </c>
      <c r="B565" s="2">
        <v>46000</v>
      </c>
      <c r="C565" t="s">
        <v>24</v>
      </c>
      <c r="D565" t="s">
        <v>33</v>
      </c>
      <c r="E565" t="s">
        <v>30</v>
      </c>
      <c r="F565" t="s">
        <v>16</v>
      </c>
      <c r="G565" t="s">
        <v>78</v>
      </c>
      <c r="H565">
        <v>12</v>
      </c>
      <c r="I565">
        <v>800</v>
      </c>
      <c r="J565">
        <f t="shared" si="16"/>
        <v>9600</v>
      </c>
      <c r="K565">
        <f>J565*0.79</f>
        <v>7584</v>
      </c>
      <c r="L565">
        <f t="shared" si="17"/>
        <v>2016</v>
      </c>
    </row>
    <row r="566" spans="1:12" x14ac:dyDescent="0.3">
      <c r="A566" t="s">
        <v>623</v>
      </c>
      <c r="B566" s="2">
        <v>45723</v>
      </c>
      <c r="C566" t="s">
        <v>63</v>
      </c>
      <c r="D566" t="s">
        <v>86</v>
      </c>
      <c r="E566" t="s">
        <v>20</v>
      </c>
      <c r="F566" t="s">
        <v>26</v>
      </c>
      <c r="G566" t="s">
        <v>69</v>
      </c>
      <c r="H566">
        <v>1</v>
      </c>
      <c r="I566">
        <v>2500</v>
      </c>
      <c r="J566">
        <f t="shared" si="16"/>
        <v>2500</v>
      </c>
      <c r="K566">
        <f>J566*0.75</f>
        <v>1875</v>
      </c>
      <c r="L566">
        <f t="shared" si="17"/>
        <v>625</v>
      </c>
    </row>
    <row r="567" spans="1:12" x14ac:dyDescent="0.3">
      <c r="A567" t="s">
        <v>624</v>
      </c>
      <c r="B567" s="2">
        <v>45883</v>
      </c>
      <c r="C567" t="s">
        <v>57</v>
      </c>
      <c r="D567" t="s">
        <v>72</v>
      </c>
      <c r="E567" t="s">
        <v>15</v>
      </c>
      <c r="F567" t="s">
        <v>21</v>
      </c>
      <c r="G567" t="s">
        <v>22</v>
      </c>
      <c r="H567">
        <v>11</v>
      </c>
      <c r="I567">
        <v>15000</v>
      </c>
      <c r="J567">
        <f t="shared" si="16"/>
        <v>165000</v>
      </c>
      <c r="K567">
        <f>J567*0.76</f>
        <v>125400</v>
      </c>
      <c r="L567">
        <f t="shared" si="17"/>
        <v>39600</v>
      </c>
    </row>
    <row r="568" spans="1:12" x14ac:dyDescent="0.3">
      <c r="A568" t="s">
        <v>625</v>
      </c>
      <c r="B568" s="2">
        <v>45798</v>
      </c>
      <c r="C568" t="s">
        <v>48</v>
      </c>
      <c r="D568" t="s">
        <v>72</v>
      </c>
      <c r="E568" t="s">
        <v>15</v>
      </c>
      <c r="F568" t="s">
        <v>21</v>
      </c>
      <c r="G568" t="s">
        <v>74</v>
      </c>
      <c r="H568">
        <v>2</v>
      </c>
      <c r="I568">
        <v>12000</v>
      </c>
      <c r="J568">
        <f t="shared" si="16"/>
        <v>24000</v>
      </c>
      <c r="K568">
        <f>J568*0.79</f>
        <v>18960</v>
      </c>
      <c r="L568">
        <f t="shared" si="17"/>
        <v>5040</v>
      </c>
    </row>
    <row r="569" spans="1:12" x14ac:dyDescent="0.3">
      <c r="A569" t="s">
        <v>626</v>
      </c>
      <c r="B569" s="2">
        <v>46021</v>
      </c>
      <c r="C569" t="s">
        <v>24</v>
      </c>
      <c r="D569" t="s">
        <v>64</v>
      </c>
      <c r="E569" t="s">
        <v>30</v>
      </c>
      <c r="F569" t="s">
        <v>21</v>
      </c>
      <c r="G569" t="s">
        <v>54</v>
      </c>
      <c r="H569">
        <v>11</v>
      </c>
      <c r="I569">
        <v>18000</v>
      </c>
      <c r="J569">
        <f t="shared" si="16"/>
        <v>198000</v>
      </c>
      <c r="K569">
        <f>J569*0.73</f>
        <v>144540</v>
      </c>
      <c r="L569">
        <f t="shared" si="17"/>
        <v>53460</v>
      </c>
    </row>
    <row r="570" spans="1:12" x14ac:dyDescent="0.3">
      <c r="A570" t="s">
        <v>627</v>
      </c>
      <c r="B570" s="2">
        <v>45930</v>
      </c>
      <c r="C570" t="s">
        <v>13</v>
      </c>
      <c r="D570" t="s">
        <v>51</v>
      </c>
      <c r="E570" t="s">
        <v>20</v>
      </c>
      <c r="F570" t="s">
        <v>21</v>
      </c>
      <c r="G570" t="s">
        <v>40</v>
      </c>
      <c r="H570">
        <v>15</v>
      </c>
      <c r="I570">
        <v>5000</v>
      </c>
      <c r="J570">
        <f t="shared" si="16"/>
        <v>75000</v>
      </c>
      <c r="K570">
        <f>J570*0.82</f>
        <v>61499.999999999993</v>
      </c>
      <c r="L570">
        <f t="shared" si="17"/>
        <v>13500.000000000007</v>
      </c>
    </row>
    <row r="571" spans="1:12" x14ac:dyDescent="0.3">
      <c r="A571" t="s">
        <v>628</v>
      </c>
      <c r="B571" s="2">
        <v>45745</v>
      </c>
      <c r="C571" t="s">
        <v>63</v>
      </c>
      <c r="D571" t="s">
        <v>19</v>
      </c>
      <c r="E571" t="s">
        <v>20</v>
      </c>
      <c r="F571" t="s">
        <v>16</v>
      </c>
      <c r="G571" t="s">
        <v>92</v>
      </c>
      <c r="H571">
        <v>5</v>
      </c>
      <c r="I571">
        <v>1200</v>
      </c>
      <c r="J571">
        <f t="shared" si="16"/>
        <v>6000</v>
      </c>
      <c r="K571">
        <f>J571*0.8</f>
        <v>4800</v>
      </c>
      <c r="L571">
        <f t="shared" si="17"/>
        <v>1200</v>
      </c>
    </row>
    <row r="572" spans="1:12" x14ac:dyDescent="0.3">
      <c r="A572" t="s">
        <v>629</v>
      </c>
      <c r="B572" s="2">
        <v>46002</v>
      </c>
      <c r="C572" t="s">
        <v>24</v>
      </c>
      <c r="D572" t="s">
        <v>14</v>
      </c>
      <c r="E572" t="s">
        <v>35</v>
      </c>
      <c r="F572" t="s">
        <v>16</v>
      </c>
      <c r="G572" t="s">
        <v>60</v>
      </c>
      <c r="H572">
        <v>8</v>
      </c>
      <c r="I572">
        <v>250</v>
      </c>
      <c r="J572">
        <f t="shared" si="16"/>
        <v>2000</v>
      </c>
      <c r="K572">
        <f>J572*0.84</f>
        <v>1680</v>
      </c>
      <c r="L572">
        <f t="shared" si="17"/>
        <v>320</v>
      </c>
    </row>
    <row r="573" spans="1:12" x14ac:dyDescent="0.3">
      <c r="A573" t="s">
        <v>630</v>
      </c>
      <c r="B573" s="2">
        <v>45867</v>
      </c>
      <c r="C573" t="s">
        <v>76</v>
      </c>
      <c r="D573" t="s">
        <v>39</v>
      </c>
      <c r="E573" t="s">
        <v>15</v>
      </c>
      <c r="F573" t="s">
        <v>16</v>
      </c>
      <c r="G573" t="s">
        <v>36</v>
      </c>
      <c r="H573">
        <v>3</v>
      </c>
      <c r="I573">
        <v>150</v>
      </c>
      <c r="J573">
        <f t="shared" si="16"/>
        <v>450</v>
      </c>
      <c r="K573">
        <f>J573*0.82</f>
        <v>369</v>
      </c>
      <c r="L573">
        <f t="shared" si="17"/>
        <v>81</v>
      </c>
    </row>
    <row r="574" spans="1:12" x14ac:dyDescent="0.3">
      <c r="A574" t="s">
        <v>631</v>
      </c>
      <c r="B574" s="2">
        <v>45939</v>
      </c>
      <c r="C574" t="s">
        <v>38</v>
      </c>
      <c r="D574" t="s">
        <v>64</v>
      </c>
      <c r="E574" t="s">
        <v>30</v>
      </c>
      <c r="F574" t="s">
        <v>21</v>
      </c>
      <c r="G574" t="s">
        <v>65</v>
      </c>
      <c r="H574">
        <v>14</v>
      </c>
      <c r="I574">
        <v>22000</v>
      </c>
      <c r="J574">
        <f t="shared" si="16"/>
        <v>308000</v>
      </c>
      <c r="K574">
        <f>J574*0.81</f>
        <v>249480.00000000003</v>
      </c>
      <c r="L574">
        <f t="shared" si="17"/>
        <v>58519.999999999971</v>
      </c>
    </row>
    <row r="575" spans="1:12" x14ac:dyDescent="0.3">
      <c r="A575" t="s">
        <v>632</v>
      </c>
      <c r="B575" s="2">
        <v>45856</v>
      </c>
      <c r="C575" t="s">
        <v>76</v>
      </c>
      <c r="D575" t="s">
        <v>64</v>
      </c>
      <c r="E575" t="s">
        <v>15</v>
      </c>
      <c r="F575" t="s">
        <v>16</v>
      </c>
      <c r="G575" t="s">
        <v>17</v>
      </c>
      <c r="H575">
        <v>4</v>
      </c>
      <c r="I575">
        <v>300</v>
      </c>
      <c r="J575">
        <f t="shared" si="16"/>
        <v>1200</v>
      </c>
      <c r="K575">
        <f>J575*0.83</f>
        <v>996</v>
      </c>
      <c r="L575">
        <f t="shared" si="17"/>
        <v>204</v>
      </c>
    </row>
    <row r="576" spans="1:12" x14ac:dyDescent="0.3">
      <c r="A576" t="s">
        <v>633</v>
      </c>
      <c r="B576" s="2">
        <v>45726</v>
      </c>
      <c r="C576" t="s">
        <v>63</v>
      </c>
      <c r="D576" t="s">
        <v>25</v>
      </c>
      <c r="E576" t="s">
        <v>15</v>
      </c>
      <c r="F576" t="s">
        <v>26</v>
      </c>
      <c r="G576" t="s">
        <v>94</v>
      </c>
      <c r="H576">
        <v>8</v>
      </c>
      <c r="I576">
        <v>28000</v>
      </c>
      <c r="J576">
        <f t="shared" si="16"/>
        <v>224000</v>
      </c>
      <c r="K576">
        <f>J576*0.74</f>
        <v>165760</v>
      </c>
      <c r="L576">
        <f t="shared" si="17"/>
        <v>58240</v>
      </c>
    </row>
    <row r="577" spans="1:12" x14ac:dyDescent="0.3">
      <c r="A577" t="s">
        <v>634</v>
      </c>
      <c r="B577" s="2">
        <v>45891</v>
      </c>
      <c r="C577" t="s">
        <v>57</v>
      </c>
      <c r="D577" t="s">
        <v>83</v>
      </c>
      <c r="E577" t="s">
        <v>20</v>
      </c>
      <c r="F577" t="s">
        <v>26</v>
      </c>
      <c r="G577" t="s">
        <v>27</v>
      </c>
      <c r="H577">
        <v>13</v>
      </c>
      <c r="I577">
        <v>45000</v>
      </c>
      <c r="J577">
        <f t="shared" si="16"/>
        <v>585000</v>
      </c>
      <c r="K577">
        <f>J577*0.78</f>
        <v>456300</v>
      </c>
      <c r="L577">
        <f t="shared" si="17"/>
        <v>128700</v>
      </c>
    </row>
    <row r="578" spans="1:12" x14ac:dyDescent="0.3">
      <c r="A578" t="s">
        <v>635</v>
      </c>
      <c r="B578" s="2">
        <v>45830</v>
      </c>
      <c r="C578" t="s">
        <v>43</v>
      </c>
      <c r="D578" t="s">
        <v>39</v>
      </c>
      <c r="E578" t="s">
        <v>20</v>
      </c>
      <c r="F578" t="s">
        <v>21</v>
      </c>
      <c r="G578" t="s">
        <v>22</v>
      </c>
      <c r="H578">
        <v>4</v>
      </c>
      <c r="I578">
        <v>15000</v>
      </c>
      <c r="J578">
        <f t="shared" ref="J578:J641" si="18">H578*I578</f>
        <v>60000</v>
      </c>
      <c r="K578">
        <f>J578*0.7</f>
        <v>42000</v>
      </c>
      <c r="L578">
        <f t="shared" ref="L578:L641" si="19">J578-K578</f>
        <v>18000</v>
      </c>
    </row>
    <row r="579" spans="1:12" x14ac:dyDescent="0.3">
      <c r="A579" t="s">
        <v>636</v>
      </c>
      <c r="B579" s="2">
        <v>45710</v>
      </c>
      <c r="C579" t="s">
        <v>50</v>
      </c>
      <c r="D579" t="s">
        <v>14</v>
      </c>
      <c r="E579" t="s">
        <v>46</v>
      </c>
      <c r="F579" t="s">
        <v>16</v>
      </c>
      <c r="G579" t="s">
        <v>60</v>
      </c>
      <c r="H579">
        <v>9</v>
      </c>
      <c r="I579">
        <v>250</v>
      </c>
      <c r="J579">
        <f t="shared" si="18"/>
        <v>2250</v>
      </c>
      <c r="K579">
        <f>J579*0.84</f>
        <v>1890</v>
      </c>
      <c r="L579">
        <f t="shared" si="19"/>
        <v>360</v>
      </c>
    </row>
    <row r="580" spans="1:12" x14ac:dyDescent="0.3">
      <c r="A580" t="s">
        <v>637</v>
      </c>
      <c r="B580" s="2">
        <v>45807</v>
      </c>
      <c r="C580" t="s">
        <v>48</v>
      </c>
      <c r="D580" t="s">
        <v>64</v>
      </c>
      <c r="E580" t="s">
        <v>20</v>
      </c>
      <c r="F580" t="s">
        <v>21</v>
      </c>
      <c r="G580" t="s">
        <v>74</v>
      </c>
      <c r="H580">
        <v>17</v>
      </c>
      <c r="I580">
        <v>12000</v>
      </c>
      <c r="J580">
        <f t="shared" si="18"/>
        <v>204000</v>
      </c>
      <c r="K580">
        <f>J580*0.74</f>
        <v>150960</v>
      </c>
      <c r="L580">
        <f t="shared" si="19"/>
        <v>53040</v>
      </c>
    </row>
    <row r="581" spans="1:12" x14ac:dyDescent="0.3">
      <c r="A581" t="s">
        <v>638</v>
      </c>
      <c r="B581" s="2">
        <v>45959</v>
      </c>
      <c r="C581" t="s">
        <v>38</v>
      </c>
      <c r="D581" t="s">
        <v>25</v>
      </c>
      <c r="E581" t="s">
        <v>46</v>
      </c>
      <c r="F581" t="s">
        <v>26</v>
      </c>
      <c r="G581" t="s">
        <v>44</v>
      </c>
      <c r="H581">
        <v>11</v>
      </c>
      <c r="I581">
        <v>25000</v>
      </c>
      <c r="J581">
        <f t="shared" si="18"/>
        <v>275000</v>
      </c>
      <c r="K581">
        <f>J581*0.72</f>
        <v>198000</v>
      </c>
      <c r="L581">
        <f t="shared" si="19"/>
        <v>77000</v>
      </c>
    </row>
    <row r="582" spans="1:12" x14ac:dyDescent="0.3">
      <c r="A582" t="s">
        <v>639</v>
      </c>
      <c r="B582" s="2">
        <v>45740</v>
      </c>
      <c r="C582" t="s">
        <v>63</v>
      </c>
      <c r="D582" t="s">
        <v>72</v>
      </c>
      <c r="E582" t="s">
        <v>35</v>
      </c>
      <c r="F582" t="s">
        <v>16</v>
      </c>
      <c r="G582" t="s">
        <v>17</v>
      </c>
      <c r="H582">
        <v>8</v>
      </c>
      <c r="I582">
        <v>300</v>
      </c>
      <c r="J582">
        <f t="shared" si="18"/>
        <v>2400</v>
      </c>
      <c r="K582">
        <f>J582*0.82</f>
        <v>1967.9999999999998</v>
      </c>
      <c r="L582">
        <f t="shared" si="19"/>
        <v>432.00000000000023</v>
      </c>
    </row>
    <row r="583" spans="1:12" x14ac:dyDescent="0.3">
      <c r="A583" t="s">
        <v>640</v>
      </c>
      <c r="B583" s="2">
        <v>45667</v>
      </c>
      <c r="C583" t="s">
        <v>29</v>
      </c>
      <c r="D583" t="s">
        <v>86</v>
      </c>
      <c r="E583" t="s">
        <v>46</v>
      </c>
      <c r="F583" t="s">
        <v>26</v>
      </c>
      <c r="G583" t="s">
        <v>44</v>
      </c>
      <c r="H583">
        <v>9</v>
      </c>
      <c r="I583">
        <v>25000</v>
      </c>
      <c r="J583">
        <f t="shared" si="18"/>
        <v>225000</v>
      </c>
      <c r="K583">
        <f>J583*0.83</f>
        <v>186750</v>
      </c>
      <c r="L583">
        <f t="shared" si="19"/>
        <v>38250</v>
      </c>
    </row>
    <row r="584" spans="1:12" x14ac:dyDescent="0.3">
      <c r="A584" t="s">
        <v>641</v>
      </c>
      <c r="B584" s="2">
        <v>45972</v>
      </c>
      <c r="C584" t="s">
        <v>32</v>
      </c>
      <c r="D584" t="s">
        <v>86</v>
      </c>
      <c r="E584" t="s">
        <v>20</v>
      </c>
      <c r="F584" t="s">
        <v>26</v>
      </c>
      <c r="G584" t="s">
        <v>111</v>
      </c>
      <c r="H584">
        <v>16</v>
      </c>
      <c r="I584">
        <v>85000</v>
      </c>
      <c r="J584">
        <f t="shared" si="18"/>
        <v>1360000</v>
      </c>
      <c r="K584">
        <f>J584*0.84</f>
        <v>1142400</v>
      </c>
      <c r="L584">
        <f t="shared" si="19"/>
        <v>217600</v>
      </c>
    </row>
    <row r="585" spans="1:12" x14ac:dyDescent="0.3">
      <c r="A585" t="s">
        <v>642</v>
      </c>
      <c r="B585" s="2">
        <v>45692</v>
      </c>
      <c r="C585" t="s">
        <v>50</v>
      </c>
      <c r="D585" t="s">
        <v>25</v>
      </c>
      <c r="E585" t="s">
        <v>46</v>
      </c>
      <c r="F585" t="s">
        <v>26</v>
      </c>
      <c r="G585" t="s">
        <v>69</v>
      </c>
      <c r="H585">
        <v>19</v>
      </c>
      <c r="I585">
        <v>2500</v>
      </c>
      <c r="J585">
        <f t="shared" si="18"/>
        <v>47500</v>
      </c>
      <c r="K585">
        <f>J585*0.79</f>
        <v>37525</v>
      </c>
      <c r="L585">
        <f t="shared" si="19"/>
        <v>9975</v>
      </c>
    </row>
    <row r="586" spans="1:12" x14ac:dyDescent="0.3">
      <c r="A586" t="s">
        <v>643</v>
      </c>
      <c r="B586" s="2">
        <v>45767</v>
      </c>
      <c r="C586" t="s">
        <v>59</v>
      </c>
      <c r="D586" t="s">
        <v>51</v>
      </c>
      <c r="E586" t="s">
        <v>20</v>
      </c>
      <c r="F586" t="s">
        <v>26</v>
      </c>
      <c r="G586" t="s">
        <v>111</v>
      </c>
      <c r="H586">
        <v>10</v>
      </c>
      <c r="I586">
        <v>85000</v>
      </c>
      <c r="J586">
        <f t="shared" si="18"/>
        <v>850000</v>
      </c>
      <c r="K586">
        <f>J586*0.83</f>
        <v>705500</v>
      </c>
      <c r="L586">
        <f t="shared" si="19"/>
        <v>144500</v>
      </c>
    </row>
    <row r="587" spans="1:12" x14ac:dyDescent="0.3">
      <c r="A587" t="s">
        <v>644</v>
      </c>
      <c r="B587" s="2">
        <v>45936</v>
      </c>
      <c r="C587" t="s">
        <v>38</v>
      </c>
      <c r="D587" t="s">
        <v>72</v>
      </c>
      <c r="E587" t="s">
        <v>30</v>
      </c>
      <c r="F587" t="s">
        <v>16</v>
      </c>
      <c r="G587" t="s">
        <v>78</v>
      </c>
      <c r="H587">
        <v>4</v>
      </c>
      <c r="I587">
        <v>800</v>
      </c>
      <c r="J587">
        <f t="shared" si="18"/>
        <v>3200</v>
      </c>
      <c r="K587">
        <f>J587*0.72</f>
        <v>2304</v>
      </c>
      <c r="L587">
        <f t="shared" si="19"/>
        <v>896</v>
      </c>
    </row>
    <row r="588" spans="1:12" x14ac:dyDescent="0.3">
      <c r="A588" t="s">
        <v>645</v>
      </c>
      <c r="B588" s="2">
        <v>45743</v>
      </c>
      <c r="C588" t="s">
        <v>63</v>
      </c>
      <c r="D588" t="s">
        <v>86</v>
      </c>
      <c r="E588" t="s">
        <v>30</v>
      </c>
      <c r="F588" t="s">
        <v>26</v>
      </c>
      <c r="G588" t="s">
        <v>111</v>
      </c>
      <c r="H588">
        <v>5</v>
      </c>
      <c r="I588">
        <v>85000</v>
      </c>
      <c r="J588">
        <f t="shared" si="18"/>
        <v>425000</v>
      </c>
      <c r="K588">
        <f>J588*0.8</f>
        <v>340000</v>
      </c>
      <c r="L588">
        <f t="shared" si="19"/>
        <v>85000</v>
      </c>
    </row>
    <row r="589" spans="1:12" x14ac:dyDescent="0.3">
      <c r="A589" t="s">
        <v>646</v>
      </c>
      <c r="B589" s="2">
        <v>45721</v>
      </c>
      <c r="C589" t="s">
        <v>63</v>
      </c>
      <c r="D589" t="s">
        <v>86</v>
      </c>
      <c r="E589" t="s">
        <v>15</v>
      </c>
      <c r="F589" t="s">
        <v>16</v>
      </c>
      <c r="G589" t="s">
        <v>78</v>
      </c>
      <c r="H589">
        <v>6</v>
      </c>
      <c r="I589">
        <v>800</v>
      </c>
      <c r="J589">
        <f t="shared" si="18"/>
        <v>4800</v>
      </c>
      <c r="K589">
        <f>J589*0.8</f>
        <v>3840</v>
      </c>
      <c r="L589">
        <f t="shared" si="19"/>
        <v>960</v>
      </c>
    </row>
    <row r="590" spans="1:12" x14ac:dyDescent="0.3">
      <c r="A590" t="s">
        <v>647</v>
      </c>
      <c r="B590" s="2">
        <v>45690</v>
      </c>
      <c r="C590" t="s">
        <v>50</v>
      </c>
      <c r="D590" t="s">
        <v>14</v>
      </c>
      <c r="E590" t="s">
        <v>30</v>
      </c>
      <c r="F590" t="s">
        <v>16</v>
      </c>
      <c r="G590" t="s">
        <v>78</v>
      </c>
      <c r="H590">
        <v>16</v>
      </c>
      <c r="I590">
        <v>800</v>
      </c>
      <c r="J590">
        <f t="shared" si="18"/>
        <v>12800</v>
      </c>
      <c r="K590">
        <f>J590*0.75</f>
        <v>9600</v>
      </c>
      <c r="L590">
        <f t="shared" si="19"/>
        <v>3200</v>
      </c>
    </row>
    <row r="591" spans="1:12" x14ac:dyDescent="0.3">
      <c r="A591" t="s">
        <v>648</v>
      </c>
      <c r="B591" s="2">
        <v>45884</v>
      </c>
      <c r="C591" t="s">
        <v>57</v>
      </c>
      <c r="D591" t="s">
        <v>83</v>
      </c>
      <c r="E591" t="s">
        <v>46</v>
      </c>
      <c r="F591" t="s">
        <v>26</v>
      </c>
      <c r="G591" t="s">
        <v>127</v>
      </c>
      <c r="H591">
        <v>16</v>
      </c>
      <c r="I591">
        <v>1500</v>
      </c>
      <c r="J591">
        <f t="shared" si="18"/>
        <v>24000</v>
      </c>
      <c r="K591">
        <f>J591*0.82</f>
        <v>19680</v>
      </c>
      <c r="L591">
        <f t="shared" si="19"/>
        <v>4320</v>
      </c>
    </row>
    <row r="592" spans="1:12" x14ac:dyDescent="0.3">
      <c r="A592" t="s">
        <v>649</v>
      </c>
      <c r="B592" s="2">
        <v>45988</v>
      </c>
      <c r="C592" t="s">
        <v>32</v>
      </c>
      <c r="D592" t="s">
        <v>64</v>
      </c>
      <c r="E592" t="s">
        <v>46</v>
      </c>
      <c r="F592" t="s">
        <v>26</v>
      </c>
      <c r="G592" t="s">
        <v>94</v>
      </c>
      <c r="H592">
        <v>16</v>
      </c>
      <c r="I592">
        <v>28000</v>
      </c>
      <c r="J592">
        <f t="shared" si="18"/>
        <v>448000</v>
      </c>
      <c r="K592">
        <f>J592*0.71</f>
        <v>318080</v>
      </c>
      <c r="L592">
        <f t="shared" si="19"/>
        <v>129920</v>
      </c>
    </row>
    <row r="593" spans="1:12" x14ac:dyDescent="0.3">
      <c r="A593" t="s">
        <v>650</v>
      </c>
      <c r="B593" s="2">
        <v>45766</v>
      </c>
      <c r="C593" t="s">
        <v>59</v>
      </c>
      <c r="D593" t="s">
        <v>83</v>
      </c>
      <c r="E593" t="s">
        <v>46</v>
      </c>
      <c r="F593" t="s">
        <v>16</v>
      </c>
      <c r="G593" t="s">
        <v>92</v>
      </c>
      <c r="H593">
        <v>20</v>
      </c>
      <c r="I593">
        <v>1200</v>
      </c>
      <c r="J593">
        <f t="shared" si="18"/>
        <v>24000</v>
      </c>
      <c r="K593">
        <f>J593*0.75</f>
        <v>18000</v>
      </c>
      <c r="L593">
        <f t="shared" si="19"/>
        <v>6000</v>
      </c>
    </row>
    <row r="594" spans="1:12" x14ac:dyDescent="0.3">
      <c r="A594" t="s">
        <v>651</v>
      </c>
      <c r="B594" s="2">
        <v>45704</v>
      </c>
      <c r="C594" t="s">
        <v>50</v>
      </c>
      <c r="D594" t="s">
        <v>86</v>
      </c>
      <c r="E594" t="s">
        <v>15</v>
      </c>
      <c r="F594" t="s">
        <v>26</v>
      </c>
      <c r="G594" t="s">
        <v>44</v>
      </c>
      <c r="H594">
        <v>20</v>
      </c>
      <c r="I594">
        <v>25000</v>
      </c>
      <c r="J594">
        <f t="shared" si="18"/>
        <v>500000</v>
      </c>
      <c r="K594">
        <f>J594*0.83</f>
        <v>415000</v>
      </c>
      <c r="L594">
        <f t="shared" si="19"/>
        <v>85000</v>
      </c>
    </row>
    <row r="595" spans="1:12" x14ac:dyDescent="0.3">
      <c r="A595" t="s">
        <v>652</v>
      </c>
      <c r="B595" s="2">
        <v>45791</v>
      </c>
      <c r="C595" t="s">
        <v>48</v>
      </c>
      <c r="D595" t="s">
        <v>39</v>
      </c>
      <c r="E595" t="s">
        <v>30</v>
      </c>
      <c r="F595" t="s">
        <v>16</v>
      </c>
      <c r="G595" t="s">
        <v>36</v>
      </c>
      <c r="H595">
        <v>16</v>
      </c>
      <c r="I595">
        <v>150</v>
      </c>
      <c r="J595">
        <f t="shared" si="18"/>
        <v>2400</v>
      </c>
      <c r="K595">
        <f>J595*0.78</f>
        <v>1872</v>
      </c>
      <c r="L595">
        <f t="shared" si="19"/>
        <v>528</v>
      </c>
    </row>
    <row r="596" spans="1:12" x14ac:dyDescent="0.3">
      <c r="A596" t="s">
        <v>653</v>
      </c>
      <c r="B596" s="2">
        <v>45847</v>
      </c>
      <c r="C596" t="s">
        <v>76</v>
      </c>
      <c r="D596" t="s">
        <v>86</v>
      </c>
      <c r="E596" t="s">
        <v>15</v>
      </c>
      <c r="F596" t="s">
        <v>16</v>
      </c>
      <c r="G596" t="s">
        <v>78</v>
      </c>
      <c r="H596">
        <v>11</v>
      </c>
      <c r="I596">
        <v>800</v>
      </c>
      <c r="J596">
        <f t="shared" si="18"/>
        <v>8800</v>
      </c>
      <c r="K596">
        <f>J596*0.75</f>
        <v>6600</v>
      </c>
      <c r="L596">
        <f t="shared" si="19"/>
        <v>2200</v>
      </c>
    </row>
    <row r="597" spans="1:12" x14ac:dyDescent="0.3">
      <c r="A597" t="s">
        <v>654</v>
      </c>
      <c r="B597" s="2">
        <v>45820</v>
      </c>
      <c r="C597" t="s">
        <v>43</v>
      </c>
      <c r="D597" t="s">
        <v>39</v>
      </c>
      <c r="E597" t="s">
        <v>30</v>
      </c>
      <c r="F597" t="s">
        <v>16</v>
      </c>
      <c r="G597" t="s">
        <v>78</v>
      </c>
      <c r="H597">
        <v>7</v>
      </c>
      <c r="I597">
        <v>800</v>
      </c>
      <c r="J597">
        <f t="shared" si="18"/>
        <v>5600</v>
      </c>
      <c r="K597">
        <f>J597*0.73</f>
        <v>4088</v>
      </c>
      <c r="L597">
        <f t="shared" si="19"/>
        <v>1512</v>
      </c>
    </row>
    <row r="598" spans="1:12" x14ac:dyDescent="0.3">
      <c r="A598" t="s">
        <v>655</v>
      </c>
      <c r="B598" s="2">
        <v>45728</v>
      </c>
      <c r="C598" t="s">
        <v>63</v>
      </c>
      <c r="D598" t="s">
        <v>64</v>
      </c>
      <c r="E598" t="s">
        <v>46</v>
      </c>
      <c r="F598" t="s">
        <v>26</v>
      </c>
      <c r="G598" t="s">
        <v>52</v>
      </c>
      <c r="H598">
        <v>17</v>
      </c>
      <c r="I598">
        <v>35000</v>
      </c>
      <c r="J598">
        <f t="shared" si="18"/>
        <v>595000</v>
      </c>
      <c r="K598">
        <f>J598*0.72</f>
        <v>428400</v>
      </c>
      <c r="L598">
        <f t="shared" si="19"/>
        <v>166600</v>
      </c>
    </row>
    <row r="599" spans="1:12" x14ac:dyDescent="0.3">
      <c r="A599" t="s">
        <v>656</v>
      </c>
      <c r="B599" s="2">
        <v>45993</v>
      </c>
      <c r="C599" t="s">
        <v>24</v>
      </c>
      <c r="D599" t="s">
        <v>83</v>
      </c>
      <c r="E599" t="s">
        <v>20</v>
      </c>
      <c r="F599" t="s">
        <v>26</v>
      </c>
      <c r="G599" t="s">
        <v>127</v>
      </c>
      <c r="H599">
        <v>14</v>
      </c>
      <c r="I599">
        <v>1500</v>
      </c>
      <c r="J599">
        <f t="shared" si="18"/>
        <v>21000</v>
      </c>
      <c r="K599">
        <f>J599*0.83</f>
        <v>17430</v>
      </c>
      <c r="L599">
        <f t="shared" si="19"/>
        <v>3570</v>
      </c>
    </row>
    <row r="600" spans="1:12" x14ac:dyDescent="0.3">
      <c r="A600" t="s">
        <v>657</v>
      </c>
      <c r="B600" s="2">
        <v>45869</v>
      </c>
      <c r="C600" t="s">
        <v>76</v>
      </c>
      <c r="D600" t="s">
        <v>51</v>
      </c>
      <c r="E600" t="s">
        <v>46</v>
      </c>
      <c r="F600" t="s">
        <v>16</v>
      </c>
      <c r="G600" t="s">
        <v>60</v>
      </c>
      <c r="H600">
        <v>8</v>
      </c>
      <c r="I600">
        <v>250</v>
      </c>
      <c r="J600">
        <f t="shared" si="18"/>
        <v>2000</v>
      </c>
      <c r="K600">
        <f>J600*0.79</f>
        <v>1580</v>
      </c>
      <c r="L600">
        <f t="shared" si="19"/>
        <v>420</v>
      </c>
    </row>
    <row r="601" spans="1:12" x14ac:dyDescent="0.3">
      <c r="A601" t="s">
        <v>658</v>
      </c>
      <c r="B601" s="2">
        <v>45887</v>
      </c>
      <c r="C601" t="s">
        <v>57</v>
      </c>
      <c r="D601" t="s">
        <v>14</v>
      </c>
      <c r="E601" t="s">
        <v>15</v>
      </c>
      <c r="F601" t="s">
        <v>16</v>
      </c>
      <c r="G601" t="s">
        <v>36</v>
      </c>
      <c r="H601">
        <v>18</v>
      </c>
      <c r="I601">
        <v>150</v>
      </c>
      <c r="J601">
        <f t="shared" si="18"/>
        <v>2700</v>
      </c>
      <c r="K601">
        <f>J601*0.77</f>
        <v>2079</v>
      </c>
      <c r="L601">
        <f t="shared" si="19"/>
        <v>621</v>
      </c>
    </row>
    <row r="602" spans="1:12" x14ac:dyDescent="0.3">
      <c r="A602" t="s">
        <v>659</v>
      </c>
      <c r="B602" s="2">
        <v>45850</v>
      </c>
      <c r="C602" t="s">
        <v>76</v>
      </c>
      <c r="D602" t="s">
        <v>25</v>
      </c>
      <c r="E602" t="s">
        <v>15</v>
      </c>
      <c r="F602" t="s">
        <v>26</v>
      </c>
      <c r="G602" t="s">
        <v>27</v>
      </c>
      <c r="H602">
        <v>8</v>
      </c>
      <c r="I602">
        <v>45000</v>
      </c>
      <c r="J602">
        <f t="shared" si="18"/>
        <v>360000</v>
      </c>
      <c r="K602">
        <f>J602*0.79</f>
        <v>284400</v>
      </c>
      <c r="L602">
        <f t="shared" si="19"/>
        <v>75600</v>
      </c>
    </row>
    <row r="603" spans="1:12" x14ac:dyDescent="0.3">
      <c r="A603" t="s">
        <v>660</v>
      </c>
      <c r="B603" s="2">
        <v>45989</v>
      </c>
      <c r="C603" t="s">
        <v>32</v>
      </c>
      <c r="D603" t="s">
        <v>72</v>
      </c>
      <c r="E603" t="s">
        <v>35</v>
      </c>
      <c r="F603" t="s">
        <v>21</v>
      </c>
      <c r="G603" t="s">
        <v>65</v>
      </c>
      <c r="H603">
        <v>17</v>
      </c>
      <c r="I603">
        <v>22000</v>
      </c>
      <c r="J603">
        <f t="shared" si="18"/>
        <v>374000</v>
      </c>
      <c r="K603">
        <f>J603*0.8</f>
        <v>299200</v>
      </c>
      <c r="L603">
        <f t="shared" si="19"/>
        <v>74800</v>
      </c>
    </row>
    <row r="604" spans="1:12" x14ac:dyDescent="0.3">
      <c r="A604" t="s">
        <v>661</v>
      </c>
      <c r="B604" s="2">
        <v>45917</v>
      </c>
      <c r="C604" t="s">
        <v>13</v>
      </c>
      <c r="D604" t="s">
        <v>64</v>
      </c>
      <c r="E604" t="s">
        <v>30</v>
      </c>
      <c r="F604" t="s">
        <v>21</v>
      </c>
      <c r="G604" t="s">
        <v>74</v>
      </c>
      <c r="H604">
        <v>16</v>
      </c>
      <c r="I604">
        <v>12000</v>
      </c>
      <c r="J604">
        <f t="shared" si="18"/>
        <v>192000</v>
      </c>
      <c r="K604">
        <f>J604*0.78</f>
        <v>149760</v>
      </c>
      <c r="L604">
        <f t="shared" si="19"/>
        <v>42240</v>
      </c>
    </row>
    <row r="605" spans="1:12" x14ac:dyDescent="0.3">
      <c r="A605" t="s">
        <v>662</v>
      </c>
      <c r="B605" s="2">
        <v>45866</v>
      </c>
      <c r="C605" t="s">
        <v>76</v>
      </c>
      <c r="D605" t="s">
        <v>86</v>
      </c>
      <c r="E605" t="s">
        <v>46</v>
      </c>
      <c r="F605" t="s">
        <v>26</v>
      </c>
      <c r="G605" t="s">
        <v>127</v>
      </c>
      <c r="H605">
        <v>11</v>
      </c>
      <c r="I605">
        <v>1500</v>
      </c>
      <c r="J605">
        <f t="shared" si="18"/>
        <v>16500</v>
      </c>
      <c r="K605">
        <f>J605*0.82</f>
        <v>13530</v>
      </c>
      <c r="L605">
        <f t="shared" si="19"/>
        <v>2970</v>
      </c>
    </row>
    <row r="606" spans="1:12" x14ac:dyDescent="0.3">
      <c r="A606" t="s">
        <v>663</v>
      </c>
      <c r="B606" s="2">
        <v>45839</v>
      </c>
      <c r="C606" t="s">
        <v>76</v>
      </c>
      <c r="D606" t="s">
        <v>39</v>
      </c>
      <c r="E606" t="s">
        <v>35</v>
      </c>
      <c r="F606" t="s">
        <v>21</v>
      </c>
      <c r="G606" t="s">
        <v>40</v>
      </c>
      <c r="H606">
        <v>10</v>
      </c>
      <c r="I606">
        <v>5000</v>
      </c>
      <c r="J606">
        <f t="shared" si="18"/>
        <v>50000</v>
      </c>
      <c r="K606">
        <f>J606*0.72</f>
        <v>36000</v>
      </c>
      <c r="L606">
        <f t="shared" si="19"/>
        <v>14000</v>
      </c>
    </row>
    <row r="607" spans="1:12" x14ac:dyDescent="0.3">
      <c r="A607" t="s">
        <v>664</v>
      </c>
      <c r="B607" s="2">
        <v>45980</v>
      </c>
      <c r="C607" t="s">
        <v>32</v>
      </c>
      <c r="D607" t="s">
        <v>51</v>
      </c>
      <c r="E607" t="s">
        <v>30</v>
      </c>
      <c r="F607" t="s">
        <v>21</v>
      </c>
      <c r="G607" t="s">
        <v>40</v>
      </c>
      <c r="H607">
        <v>19</v>
      </c>
      <c r="I607">
        <v>5000</v>
      </c>
      <c r="J607">
        <f t="shared" si="18"/>
        <v>95000</v>
      </c>
      <c r="K607">
        <f>J607*0.83</f>
        <v>78850</v>
      </c>
      <c r="L607">
        <f t="shared" si="19"/>
        <v>16150</v>
      </c>
    </row>
    <row r="608" spans="1:12" x14ac:dyDescent="0.3">
      <c r="A608" t="s">
        <v>665</v>
      </c>
      <c r="B608" s="2">
        <v>45882</v>
      </c>
      <c r="C608" t="s">
        <v>57</v>
      </c>
      <c r="D608" t="s">
        <v>33</v>
      </c>
      <c r="E608" t="s">
        <v>35</v>
      </c>
      <c r="F608" t="s">
        <v>26</v>
      </c>
      <c r="G608" t="s">
        <v>44</v>
      </c>
      <c r="H608">
        <v>18</v>
      </c>
      <c r="I608">
        <v>25000</v>
      </c>
      <c r="J608">
        <f t="shared" si="18"/>
        <v>450000</v>
      </c>
      <c r="K608">
        <f>J608*0.79</f>
        <v>355500</v>
      </c>
      <c r="L608">
        <f t="shared" si="19"/>
        <v>94500</v>
      </c>
    </row>
    <row r="609" spans="1:12" x14ac:dyDescent="0.3">
      <c r="A609" t="s">
        <v>666</v>
      </c>
      <c r="B609" s="2">
        <v>45963</v>
      </c>
      <c r="C609" t="s">
        <v>32</v>
      </c>
      <c r="D609" t="s">
        <v>14</v>
      </c>
      <c r="E609" t="s">
        <v>15</v>
      </c>
      <c r="F609" t="s">
        <v>16</v>
      </c>
      <c r="G609" t="s">
        <v>60</v>
      </c>
      <c r="H609">
        <v>15</v>
      </c>
      <c r="I609">
        <v>250</v>
      </c>
      <c r="J609">
        <f t="shared" si="18"/>
        <v>3750</v>
      </c>
      <c r="K609">
        <f>J609*0.8</f>
        <v>3000</v>
      </c>
      <c r="L609">
        <f t="shared" si="19"/>
        <v>750</v>
      </c>
    </row>
    <row r="610" spans="1:12" x14ac:dyDescent="0.3">
      <c r="A610" t="s">
        <v>667</v>
      </c>
      <c r="B610" s="2">
        <v>45887</v>
      </c>
      <c r="C610" t="s">
        <v>57</v>
      </c>
      <c r="D610" t="s">
        <v>83</v>
      </c>
      <c r="E610" t="s">
        <v>15</v>
      </c>
      <c r="F610" t="s">
        <v>26</v>
      </c>
      <c r="G610" t="s">
        <v>52</v>
      </c>
      <c r="H610">
        <v>4</v>
      </c>
      <c r="I610">
        <v>35000</v>
      </c>
      <c r="J610">
        <f t="shared" si="18"/>
        <v>140000</v>
      </c>
      <c r="K610">
        <f>J610*0.74</f>
        <v>103600</v>
      </c>
      <c r="L610">
        <f t="shared" si="19"/>
        <v>36400</v>
      </c>
    </row>
    <row r="611" spans="1:12" x14ac:dyDescent="0.3">
      <c r="A611" t="s">
        <v>668</v>
      </c>
      <c r="B611" s="2">
        <v>45850</v>
      </c>
      <c r="C611" t="s">
        <v>76</v>
      </c>
      <c r="D611" t="s">
        <v>25</v>
      </c>
      <c r="E611" t="s">
        <v>15</v>
      </c>
      <c r="F611" t="s">
        <v>21</v>
      </c>
      <c r="G611" t="s">
        <v>74</v>
      </c>
      <c r="H611">
        <v>16</v>
      </c>
      <c r="I611">
        <v>12000</v>
      </c>
      <c r="J611">
        <f t="shared" si="18"/>
        <v>192000</v>
      </c>
      <c r="K611">
        <f>J611*0.75</f>
        <v>144000</v>
      </c>
      <c r="L611">
        <f t="shared" si="19"/>
        <v>48000</v>
      </c>
    </row>
    <row r="612" spans="1:12" x14ac:dyDescent="0.3">
      <c r="A612" t="s">
        <v>669</v>
      </c>
      <c r="B612" s="2">
        <v>45860</v>
      </c>
      <c r="C612" t="s">
        <v>76</v>
      </c>
      <c r="D612" t="s">
        <v>83</v>
      </c>
      <c r="E612" t="s">
        <v>30</v>
      </c>
      <c r="F612" t="s">
        <v>16</v>
      </c>
      <c r="G612" t="s">
        <v>60</v>
      </c>
      <c r="H612">
        <v>8</v>
      </c>
      <c r="I612">
        <v>250</v>
      </c>
      <c r="J612">
        <f t="shared" si="18"/>
        <v>2000</v>
      </c>
      <c r="K612">
        <f>J612*0.76</f>
        <v>1520</v>
      </c>
      <c r="L612">
        <f t="shared" si="19"/>
        <v>480</v>
      </c>
    </row>
    <row r="613" spans="1:12" x14ac:dyDescent="0.3">
      <c r="A613" t="s">
        <v>670</v>
      </c>
      <c r="B613" s="2">
        <v>45845</v>
      </c>
      <c r="C613" t="s">
        <v>76</v>
      </c>
      <c r="D613" t="s">
        <v>19</v>
      </c>
      <c r="E613" t="s">
        <v>35</v>
      </c>
      <c r="F613" t="s">
        <v>26</v>
      </c>
      <c r="G613" t="s">
        <v>127</v>
      </c>
      <c r="H613">
        <v>17</v>
      </c>
      <c r="I613">
        <v>1500</v>
      </c>
      <c r="J613">
        <f t="shared" si="18"/>
        <v>25500</v>
      </c>
      <c r="K613">
        <f>J613*0.7</f>
        <v>17850</v>
      </c>
      <c r="L613">
        <f t="shared" si="19"/>
        <v>7650</v>
      </c>
    </row>
    <row r="614" spans="1:12" x14ac:dyDescent="0.3">
      <c r="A614" t="s">
        <v>671</v>
      </c>
      <c r="B614" s="2">
        <v>45846</v>
      </c>
      <c r="C614" t="s">
        <v>76</v>
      </c>
      <c r="D614" t="s">
        <v>25</v>
      </c>
      <c r="E614" t="s">
        <v>15</v>
      </c>
      <c r="F614" t="s">
        <v>21</v>
      </c>
      <c r="G614" t="s">
        <v>74</v>
      </c>
      <c r="H614">
        <v>9</v>
      </c>
      <c r="I614">
        <v>12000</v>
      </c>
      <c r="J614">
        <f t="shared" si="18"/>
        <v>108000</v>
      </c>
      <c r="K614">
        <f>J614*0.73</f>
        <v>78840</v>
      </c>
      <c r="L614">
        <f t="shared" si="19"/>
        <v>29160</v>
      </c>
    </row>
    <row r="615" spans="1:12" x14ac:dyDescent="0.3">
      <c r="A615" t="s">
        <v>672</v>
      </c>
      <c r="B615" s="2">
        <v>45957</v>
      </c>
      <c r="C615" t="s">
        <v>38</v>
      </c>
      <c r="D615" t="s">
        <v>19</v>
      </c>
      <c r="E615" t="s">
        <v>35</v>
      </c>
      <c r="F615" t="s">
        <v>16</v>
      </c>
      <c r="G615" t="s">
        <v>78</v>
      </c>
      <c r="H615">
        <v>17</v>
      </c>
      <c r="I615">
        <v>800</v>
      </c>
      <c r="J615">
        <f t="shared" si="18"/>
        <v>13600</v>
      </c>
      <c r="K615">
        <f>J615*0.78</f>
        <v>10608</v>
      </c>
      <c r="L615">
        <f t="shared" si="19"/>
        <v>2992</v>
      </c>
    </row>
    <row r="616" spans="1:12" x14ac:dyDescent="0.3">
      <c r="A616" t="s">
        <v>673</v>
      </c>
      <c r="B616" s="2">
        <v>45670</v>
      </c>
      <c r="C616" t="s">
        <v>29</v>
      </c>
      <c r="D616" t="s">
        <v>14</v>
      </c>
      <c r="E616" t="s">
        <v>35</v>
      </c>
      <c r="F616" t="s">
        <v>21</v>
      </c>
      <c r="G616" t="s">
        <v>65</v>
      </c>
      <c r="H616">
        <v>16</v>
      </c>
      <c r="I616">
        <v>22000</v>
      </c>
      <c r="J616">
        <f t="shared" si="18"/>
        <v>352000</v>
      </c>
      <c r="K616">
        <f>J616*0.76</f>
        <v>267520</v>
      </c>
      <c r="L616">
        <f t="shared" si="19"/>
        <v>84480</v>
      </c>
    </row>
    <row r="617" spans="1:12" x14ac:dyDescent="0.3">
      <c r="A617" t="s">
        <v>674</v>
      </c>
      <c r="B617" s="2">
        <v>45894</v>
      </c>
      <c r="C617" t="s">
        <v>57</v>
      </c>
      <c r="D617" t="s">
        <v>33</v>
      </c>
      <c r="E617" t="s">
        <v>20</v>
      </c>
      <c r="F617" t="s">
        <v>21</v>
      </c>
      <c r="G617" t="s">
        <v>54</v>
      </c>
      <c r="H617">
        <v>13</v>
      </c>
      <c r="I617">
        <v>18000</v>
      </c>
      <c r="J617">
        <f t="shared" si="18"/>
        <v>234000</v>
      </c>
      <c r="K617">
        <f>J617*0.73</f>
        <v>170820</v>
      </c>
      <c r="L617">
        <f t="shared" si="19"/>
        <v>63180</v>
      </c>
    </row>
    <row r="618" spans="1:12" x14ac:dyDescent="0.3">
      <c r="A618" t="s">
        <v>675</v>
      </c>
      <c r="B618" s="2">
        <v>45660</v>
      </c>
      <c r="C618" t="s">
        <v>29</v>
      </c>
      <c r="D618" t="s">
        <v>25</v>
      </c>
      <c r="E618" t="s">
        <v>46</v>
      </c>
      <c r="F618" t="s">
        <v>21</v>
      </c>
      <c r="G618" t="s">
        <v>54</v>
      </c>
      <c r="H618">
        <v>19</v>
      </c>
      <c r="I618">
        <v>18000</v>
      </c>
      <c r="J618">
        <f t="shared" si="18"/>
        <v>342000</v>
      </c>
      <c r="K618">
        <f>J618*0.74</f>
        <v>253080</v>
      </c>
      <c r="L618">
        <f t="shared" si="19"/>
        <v>88920</v>
      </c>
    </row>
    <row r="619" spans="1:12" x14ac:dyDescent="0.3">
      <c r="A619" t="s">
        <v>676</v>
      </c>
      <c r="B619" s="2">
        <v>45884</v>
      </c>
      <c r="C619" t="s">
        <v>57</v>
      </c>
      <c r="D619" t="s">
        <v>14</v>
      </c>
      <c r="E619" t="s">
        <v>30</v>
      </c>
      <c r="F619" t="s">
        <v>26</v>
      </c>
      <c r="G619" t="s">
        <v>27</v>
      </c>
      <c r="H619">
        <v>16</v>
      </c>
      <c r="I619">
        <v>45000</v>
      </c>
      <c r="J619">
        <f t="shared" si="18"/>
        <v>720000</v>
      </c>
      <c r="K619">
        <f>J619*0.84</f>
        <v>604800</v>
      </c>
      <c r="L619">
        <f t="shared" si="19"/>
        <v>115200</v>
      </c>
    </row>
    <row r="620" spans="1:12" x14ac:dyDescent="0.3">
      <c r="A620" t="s">
        <v>677</v>
      </c>
      <c r="B620" s="2">
        <v>45911</v>
      </c>
      <c r="C620" t="s">
        <v>13</v>
      </c>
      <c r="D620" t="s">
        <v>83</v>
      </c>
      <c r="E620" t="s">
        <v>30</v>
      </c>
      <c r="F620" t="s">
        <v>21</v>
      </c>
      <c r="G620" t="s">
        <v>54</v>
      </c>
      <c r="H620">
        <v>12</v>
      </c>
      <c r="I620">
        <v>18000</v>
      </c>
      <c r="J620">
        <f t="shared" si="18"/>
        <v>216000</v>
      </c>
      <c r="K620">
        <f>J620*0.71</f>
        <v>153360</v>
      </c>
      <c r="L620">
        <f t="shared" si="19"/>
        <v>62640</v>
      </c>
    </row>
    <row r="621" spans="1:12" x14ac:dyDescent="0.3">
      <c r="A621" t="s">
        <v>678</v>
      </c>
      <c r="B621" s="2">
        <v>45862</v>
      </c>
      <c r="C621" t="s">
        <v>76</v>
      </c>
      <c r="D621" t="s">
        <v>51</v>
      </c>
      <c r="E621" t="s">
        <v>15</v>
      </c>
      <c r="F621" t="s">
        <v>21</v>
      </c>
      <c r="G621" t="s">
        <v>40</v>
      </c>
      <c r="H621">
        <v>6</v>
      </c>
      <c r="I621">
        <v>5000</v>
      </c>
      <c r="J621">
        <f t="shared" si="18"/>
        <v>30000</v>
      </c>
      <c r="K621">
        <f>J621*0.74</f>
        <v>22200</v>
      </c>
      <c r="L621">
        <f t="shared" si="19"/>
        <v>7800</v>
      </c>
    </row>
    <row r="622" spans="1:12" x14ac:dyDescent="0.3">
      <c r="A622" t="s">
        <v>679</v>
      </c>
      <c r="B622" s="2">
        <v>45712</v>
      </c>
      <c r="C622" t="s">
        <v>50</v>
      </c>
      <c r="D622" t="s">
        <v>86</v>
      </c>
      <c r="E622" t="s">
        <v>30</v>
      </c>
      <c r="F622" t="s">
        <v>16</v>
      </c>
      <c r="G622" t="s">
        <v>36</v>
      </c>
      <c r="H622">
        <v>6</v>
      </c>
      <c r="I622">
        <v>150</v>
      </c>
      <c r="J622">
        <f t="shared" si="18"/>
        <v>900</v>
      </c>
      <c r="K622">
        <f>J622*0.83</f>
        <v>747</v>
      </c>
      <c r="L622">
        <f t="shared" si="19"/>
        <v>153</v>
      </c>
    </row>
    <row r="623" spans="1:12" x14ac:dyDescent="0.3">
      <c r="A623" t="s">
        <v>680</v>
      </c>
      <c r="B623" s="2">
        <v>45828</v>
      </c>
      <c r="C623" t="s">
        <v>43</v>
      </c>
      <c r="D623" t="s">
        <v>64</v>
      </c>
      <c r="E623" t="s">
        <v>20</v>
      </c>
      <c r="F623" t="s">
        <v>16</v>
      </c>
      <c r="G623" t="s">
        <v>36</v>
      </c>
      <c r="H623">
        <v>12</v>
      </c>
      <c r="I623">
        <v>150</v>
      </c>
      <c r="J623">
        <f t="shared" si="18"/>
        <v>1800</v>
      </c>
      <c r="K623">
        <f>J623*0.75</f>
        <v>1350</v>
      </c>
      <c r="L623">
        <f t="shared" si="19"/>
        <v>450</v>
      </c>
    </row>
    <row r="624" spans="1:12" x14ac:dyDescent="0.3">
      <c r="A624" t="s">
        <v>681</v>
      </c>
      <c r="B624" s="2">
        <v>45733</v>
      </c>
      <c r="C624" t="s">
        <v>63</v>
      </c>
      <c r="D624" t="s">
        <v>51</v>
      </c>
      <c r="E624" t="s">
        <v>15</v>
      </c>
      <c r="F624" t="s">
        <v>26</v>
      </c>
      <c r="G624" t="s">
        <v>27</v>
      </c>
      <c r="H624">
        <v>9</v>
      </c>
      <c r="I624">
        <v>45000</v>
      </c>
      <c r="J624">
        <f t="shared" si="18"/>
        <v>405000</v>
      </c>
      <c r="K624">
        <f>J624*0.74</f>
        <v>299700</v>
      </c>
      <c r="L624">
        <f t="shared" si="19"/>
        <v>105300</v>
      </c>
    </row>
    <row r="625" spans="1:12" x14ac:dyDescent="0.3">
      <c r="A625" t="s">
        <v>682</v>
      </c>
      <c r="B625" s="2">
        <v>45888</v>
      </c>
      <c r="C625" t="s">
        <v>57</v>
      </c>
      <c r="D625" t="s">
        <v>33</v>
      </c>
      <c r="E625" t="s">
        <v>35</v>
      </c>
      <c r="F625" t="s">
        <v>21</v>
      </c>
      <c r="G625" t="s">
        <v>40</v>
      </c>
      <c r="H625">
        <v>18</v>
      </c>
      <c r="I625">
        <v>5000</v>
      </c>
      <c r="J625">
        <f t="shared" si="18"/>
        <v>90000</v>
      </c>
      <c r="K625">
        <f>J625*0.73</f>
        <v>65700</v>
      </c>
      <c r="L625">
        <f t="shared" si="19"/>
        <v>24300</v>
      </c>
    </row>
    <row r="626" spans="1:12" x14ac:dyDescent="0.3">
      <c r="A626" t="s">
        <v>683</v>
      </c>
      <c r="B626" s="2">
        <v>45785</v>
      </c>
      <c r="C626" t="s">
        <v>48</v>
      </c>
      <c r="D626" t="s">
        <v>64</v>
      </c>
      <c r="E626" t="s">
        <v>20</v>
      </c>
      <c r="F626" t="s">
        <v>21</v>
      </c>
      <c r="G626" t="s">
        <v>40</v>
      </c>
      <c r="H626">
        <v>3</v>
      </c>
      <c r="I626">
        <v>5000</v>
      </c>
      <c r="J626">
        <f t="shared" si="18"/>
        <v>15000</v>
      </c>
      <c r="K626">
        <f>J626*0.82</f>
        <v>12300</v>
      </c>
      <c r="L626">
        <f t="shared" si="19"/>
        <v>2700</v>
      </c>
    </row>
    <row r="627" spans="1:12" x14ac:dyDescent="0.3">
      <c r="A627" t="s">
        <v>684</v>
      </c>
      <c r="B627" s="2">
        <v>45771</v>
      </c>
      <c r="C627" t="s">
        <v>59</v>
      </c>
      <c r="D627" t="s">
        <v>86</v>
      </c>
      <c r="E627" t="s">
        <v>35</v>
      </c>
      <c r="F627" t="s">
        <v>16</v>
      </c>
      <c r="G627" t="s">
        <v>60</v>
      </c>
      <c r="H627">
        <v>3</v>
      </c>
      <c r="I627">
        <v>250</v>
      </c>
      <c r="J627">
        <f t="shared" si="18"/>
        <v>750</v>
      </c>
      <c r="K627">
        <f>J627*0.73</f>
        <v>547.5</v>
      </c>
      <c r="L627">
        <f t="shared" si="19"/>
        <v>202.5</v>
      </c>
    </row>
    <row r="628" spans="1:12" x14ac:dyDescent="0.3">
      <c r="A628" t="s">
        <v>685</v>
      </c>
      <c r="B628" s="2">
        <v>45854</v>
      </c>
      <c r="C628" t="s">
        <v>76</v>
      </c>
      <c r="D628" t="s">
        <v>51</v>
      </c>
      <c r="E628" t="s">
        <v>15</v>
      </c>
      <c r="F628" t="s">
        <v>21</v>
      </c>
      <c r="G628" t="s">
        <v>74</v>
      </c>
      <c r="H628">
        <v>15</v>
      </c>
      <c r="I628">
        <v>12000</v>
      </c>
      <c r="J628">
        <f t="shared" si="18"/>
        <v>180000</v>
      </c>
      <c r="K628">
        <f>J628*0.76</f>
        <v>136800</v>
      </c>
      <c r="L628">
        <f t="shared" si="19"/>
        <v>43200</v>
      </c>
    </row>
    <row r="629" spans="1:12" x14ac:dyDescent="0.3">
      <c r="A629" t="s">
        <v>686</v>
      </c>
      <c r="B629" s="2">
        <v>45742</v>
      </c>
      <c r="C629" t="s">
        <v>63</v>
      </c>
      <c r="D629" t="s">
        <v>51</v>
      </c>
      <c r="E629" t="s">
        <v>15</v>
      </c>
      <c r="F629" t="s">
        <v>16</v>
      </c>
      <c r="G629" t="s">
        <v>36</v>
      </c>
      <c r="H629">
        <v>1</v>
      </c>
      <c r="I629">
        <v>150</v>
      </c>
      <c r="J629">
        <f t="shared" si="18"/>
        <v>150</v>
      </c>
      <c r="K629">
        <f>J629*0.78</f>
        <v>117</v>
      </c>
      <c r="L629">
        <f t="shared" si="19"/>
        <v>33</v>
      </c>
    </row>
    <row r="630" spans="1:12" x14ac:dyDescent="0.3">
      <c r="A630" t="s">
        <v>687</v>
      </c>
      <c r="B630" s="2">
        <v>45856</v>
      </c>
      <c r="C630" t="s">
        <v>76</v>
      </c>
      <c r="D630" t="s">
        <v>64</v>
      </c>
      <c r="E630" t="s">
        <v>35</v>
      </c>
      <c r="F630" t="s">
        <v>21</v>
      </c>
      <c r="G630" t="s">
        <v>22</v>
      </c>
      <c r="H630">
        <v>17</v>
      </c>
      <c r="I630">
        <v>15000</v>
      </c>
      <c r="J630">
        <f t="shared" si="18"/>
        <v>255000</v>
      </c>
      <c r="K630">
        <f>J630*0.78</f>
        <v>198900</v>
      </c>
      <c r="L630">
        <f t="shared" si="19"/>
        <v>56100</v>
      </c>
    </row>
    <row r="631" spans="1:12" x14ac:dyDescent="0.3">
      <c r="A631" t="s">
        <v>688</v>
      </c>
      <c r="B631" s="2">
        <v>45916</v>
      </c>
      <c r="C631" t="s">
        <v>13</v>
      </c>
      <c r="D631" t="s">
        <v>86</v>
      </c>
      <c r="E631" t="s">
        <v>35</v>
      </c>
      <c r="F631" t="s">
        <v>16</v>
      </c>
      <c r="G631" t="s">
        <v>60</v>
      </c>
      <c r="H631">
        <v>10</v>
      </c>
      <c r="I631">
        <v>250</v>
      </c>
      <c r="J631">
        <f t="shared" si="18"/>
        <v>2500</v>
      </c>
      <c r="K631">
        <f>J631*0.76</f>
        <v>1900</v>
      </c>
      <c r="L631">
        <f t="shared" si="19"/>
        <v>600</v>
      </c>
    </row>
    <row r="632" spans="1:12" x14ac:dyDescent="0.3">
      <c r="A632" t="s">
        <v>689</v>
      </c>
      <c r="B632" s="2">
        <v>45711</v>
      </c>
      <c r="C632" t="s">
        <v>50</v>
      </c>
      <c r="D632" t="s">
        <v>39</v>
      </c>
      <c r="E632" t="s">
        <v>46</v>
      </c>
      <c r="F632" t="s">
        <v>16</v>
      </c>
      <c r="G632" t="s">
        <v>36</v>
      </c>
      <c r="H632">
        <v>8</v>
      </c>
      <c r="I632">
        <v>150</v>
      </c>
      <c r="J632">
        <f t="shared" si="18"/>
        <v>1200</v>
      </c>
      <c r="K632">
        <f>J632*0.76</f>
        <v>912</v>
      </c>
      <c r="L632">
        <f t="shared" si="19"/>
        <v>288</v>
      </c>
    </row>
    <row r="633" spans="1:12" x14ac:dyDescent="0.3">
      <c r="A633" t="s">
        <v>690</v>
      </c>
      <c r="B633" s="2">
        <v>45719</v>
      </c>
      <c r="C633" t="s">
        <v>63</v>
      </c>
      <c r="D633" t="s">
        <v>83</v>
      </c>
      <c r="E633" t="s">
        <v>46</v>
      </c>
      <c r="F633" t="s">
        <v>26</v>
      </c>
      <c r="G633" t="s">
        <v>69</v>
      </c>
      <c r="H633">
        <v>13</v>
      </c>
      <c r="I633">
        <v>2500</v>
      </c>
      <c r="J633">
        <f t="shared" si="18"/>
        <v>32500</v>
      </c>
      <c r="K633">
        <f>J633*0.79</f>
        <v>25675</v>
      </c>
      <c r="L633">
        <f t="shared" si="19"/>
        <v>6825</v>
      </c>
    </row>
    <row r="634" spans="1:12" x14ac:dyDescent="0.3">
      <c r="A634" t="s">
        <v>691</v>
      </c>
      <c r="B634" s="2">
        <v>45993</v>
      </c>
      <c r="C634" t="s">
        <v>24</v>
      </c>
      <c r="D634" t="s">
        <v>25</v>
      </c>
      <c r="E634" t="s">
        <v>15</v>
      </c>
      <c r="F634" t="s">
        <v>26</v>
      </c>
      <c r="G634" t="s">
        <v>111</v>
      </c>
      <c r="H634">
        <v>10</v>
      </c>
      <c r="I634">
        <v>85000</v>
      </c>
      <c r="J634">
        <f t="shared" si="18"/>
        <v>850000</v>
      </c>
      <c r="K634">
        <f>J634*0.72</f>
        <v>612000</v>
      </c>
      <c r="L634">
        <f t="shared" si="19"/>
        <v>238000</v>
      </c>
    </row>
    <row r="635" spans="1:12" x14ac:dyDescent="0.3">
      <c r="A635" t="s">
        <v>692</v>
      </c>
      <c r="B635" s="2">
        <v>45754</v>
      </c>
      <c r="C635" t="s">
        <v>59</v>
      </c>
      <c r="D635" t="s">
        <v>25</v>
      </c>
      <c r="E635" t="s">
        <v>20</v>
      </c>
      <c r="F635" t="s">
        <v>16</v>
      </c>
      <c r="G635" t="s">
        <v>92</v>
      </c>
      <c r="H635">
        <v>17</v>
      </c>
      <c r="I635">
        <v>1200</v>
      </c>
      <c r="J635">
        <f t="shared" si="18"/>
        <v>20400</v>
      </c>
      <c r="K635">
        <f>J635*0.82</f>
        <v>16728</v>
      </c>
      <c r="L635">
        <f t="shared" si="19"/>
        <v>3672</v>
      </c>
    </row>
    <row r="636" spans="1:12" x14ac:dyDescent="0.3">
      <c r="A636" t="s">
        <v>693</v>
      </c>
      <c r="B636" s="2">
        <v>45985</v>
      </c>
      <c r="C636" t="s">
        <v>32</v>
      </c>
      <c r="D636" t="s">
        <v>25</v>
      </c>
      <c r="E636" t="s">
        <v>46</v>
      </c>
      <c r="F636" t="s">
        <v>16</v>
      </c>
      <c r="G636" t="s">
        <v>17</v>
      </c>
      <c r="H636">
        <v>4</v>
      </c>
      <c r="I636">
        <v>300</v>
      </c>
      <c r="J636">
        <f t="shared" si="18"/>
        <v>1200</v>
      </c>
      <c r="K636">
        <f>J636*0.7</f>
        <v>840</v>
      </c>
      <c r="L636">
        <f t="shared" si="19"/>
        <v>360</v>
      </c>
    </row>
    <row r="637" spans="1:12" x14ac:dyDescent="0.3">
      <c r="A637" t="s">
        <v>694</v>
      </c>
      <c r="B637" s="2">
        <v>45943</v>
      </c>
      <c r="C637" t="s">
        <v>38</v>
      </c>
      <c r="D637" t="s">
        <v>19</v>
      </c>
      <c r="E637" t="s">
        <v>30</v>
      </c>
      <c r="F637" t="s">
        <v>26</v>
      </c>
      <c r="G637" t="s">
        <v>111</v>
      </c>
      <c r="H637">
        <v>10</v>
      </c>
      <c r="I637">
        <v>85000</v>
      </c>
      <c r="J637">
        <f t="shared" si="18"/>
        <v>850000</v>
      </c>
      <c r="K637">
        <f>J637*0.71</f>
        <v>603500</v>
      </c>
      <c r="L637">
        <f t="shared" si="19"/>
        <v>246500</v>
      </c>
    </row>
    <row r="638" spans="1:12" x14ac:dyDescent="0.3">
      <c r="A638" t="s">
        <v>695</v>
      </c>
      <c r="B638" s="2">
        <v>45963</v>
      </c>
      <c r="C638" t="s">
        <v>32</v>
      </c>
      <c r="D638" t="s">
        <v>51</v>
      </c>
      <c r="E638" t="s">
        <v>30</v>
      </c>
      <c r="F638" t="s">
        <v>26</v>
      </c>
      <c r="G638" t="s">
        <v>52</v>
      </c>
      <c r="H638">
        <v>2</v>
      </c>
      <c r="I638">
        <v>35000</v>
      </c>
      <c r="J638">
        <f t="shared" si="18"/>
        <v>70000</v>
      </c>
      <c r="K638">
        <f>J638*0.82</f>
        <v>57400</v>
      </c>
      <c r="L638">
        <f t="shared" si="19"/>
        <v>12600</v>
      </c>
    </row>
    <row r="639" spans="1:12" x14ac:dyDescent="0.3">
      <c r="A639" t="s">
        <v>696</v>
      </c>
      <c r="B639" s="2">
        <v>45884</v>
      </c>
      <c r="C639" t="s">
        <v>57</v>
      </c>
      <c r="D639" t="s">
        <v>39</v>
      </c>
      <c r="E639" t="s">
        <v>35</v>
      </c>
      <c r="F639" t="s">
        <v>26</v>
      </c>
      <c r="G639" t="s">
        <v>27</v>
      </c>
      <c r="H639">
        <v>2</v>
      </c>
      <c r="I639">
        <v>45000</v>
      </c>
      <c r="J639">
        <f t="shared" si="18"/>
        <v>90000</v>
      </c>
      <c r="K639">
        <f>J639*0.72</f>
        <v>64800</v>
      </c>
      <c r="L639">
        <f t="shared" si="19"/>
        <v>25200</v>
      </c>
    </row>
    <row r="640" spans="1:12" x14ac:dyDescent="0.3">
      <c r="A640" t="s">
        <v>697</v>
      </c>
      <c r="B640" s="2">
        <v>45913</v>
      </c>
      <c r="C640" t="s">
        <v>13</v>
      </c>
      <c r="D640" t="s">
        <v>25</v>
      </c>
      <c r="E640" t="s">
        <v>20</v>
      </c>
      <c r="F640" t="s">
        <v>16</v>
      </c>
      <c r="G640" t="s">
        <v>36</v>
      </c>
      <c r="H640">
        <v>19</v>
      </c>
      <c r="I640">
        <v>150</v>
      </c>
      <c r="J640">
        <f t="shared" si="18"/>
        <v>2850</v>
      </c>
      <c r="K640">
        <f>J640*0.81</f>
        <v>2308.5</v>
      </c>
      <c r="L640">
        <f t="shared" si="19"/>
        <v>541.5</v>
      </c>
    </row>
    <row r="641" spans="1:12" x14ac:dyDescent="0.3">
      <c r="A641" t="s">
        <v>698</v>
      </c>
      <c r="B641" s="2">
        <v>45878</v>
      </c>
      <c r="C641" t="s">
        <v>57</v>
      </c>
      <c r="D641" t="s">
        <v>25</v>
      </c>
      <c r="E641" t="s">
        <v>15</v>
      </c>
      <c r="F641" t="s">
        <v>16</v>
      </c>
      <c r="G641" t="s">
        <v>36</v>
      </c>
      <c r="H641">
        <v>1</v>
      </c>
      <c r="I641">
        <v>150</v>
      </c>
      <c r="J641">
        <f t="shared" si="18"/>
        <v>150</v>
      </c>
      <c r="K641">
        <f>J641*0.71</f>
        <v>106.5</v>
      </c>
      <c r="L641">
        <f t="shared" si="19"/>
        <v>43.5</v>
      </c>
    </row>
    <row r="642" spans="1:12" x14ac:dyDescent="0.3">
      <c r="A642" t="s">
        <v>699</v>
      </c>
      <c r="B642" s="2">
        <v>45685</v>
      </c>
      <c r="C642" t="s">
        <v>29</v>
      </c>
      <c r="D642" t="s">
        <v>64</v>
      </c>
      <c r="E642" t="s">
        <v>20</v>
      </c>
      <c r="F642" t="s">
        <v>26</v>
      </c>
      <c r="G642" t="s">
        <v>94</v>
      </c>
      <c r="H642">
        <v>12</v>
      </c>
      <c r="I642">
        <v>28000</v>
      </c>
      <c r="J642">
        <f t="shared" ref="J642:J705" si="20">H642*I642</f>
        <v>336000</v>
      </c>
      <c r="K642">
        <f>J642*0.84</f>
        <v>282240</v>
      </c>
      <c r="L642">
        <f t="shared" ref="L642:L705" si="21">J642-K642</f>
        <v>53760</v>
      </c>
    </row>
    <row r="643" spans="1:12" x14ac:dyDescent="0.3">
      <c r="A643" t="s">
        <v>700</v>
      </c>
      <c r="B643" s="2">
        <v>45754</v>
      </c>
      <c r="C643" t="s">
        <v>59</v>
      </c>
      <c r="D643" t="s">
        <v>39</v>
      </c>
      <c r="E643" t="s">
        <v>15</v>
      </c>
      <c r="F643" t="s">
        <v>21</v>
      </c>
      <c r="G643" t="s">
        <v>54</v>
      </c>
      <c r="H643">
        <v>1</v>
      </c>
      <c r="I643">
        <v>18000</v>
      </c>
      <c r="J643">
        <f t="shared" si="20"/>
        <v>18000</v>
      </c>
      <c r="K643">
        <f>J643*0.83</f>
        <v>14940</v>
      </c>
      <c r="L643">
        <f t="shared" si="21"/>
        <v>3060</v>
      </c>
    </row>
    <row r="644" spans="1:12" x14ac:dyDescent="0.3">
      <c r="A644" t="s">
        <v>701</v>
      </c>
      <c r="B644" s="2">
        <v>45680</v>
      </c>
      <c r="C644" t="s">
        <v>29</v>
      </c>
      <c r="D644" t="s">
        <v>86</v>
      </c>
      <c r="E644" t="s">
        <v>30</v>
      </c>
      <c r="F644" t="s">
        <v>21</v>
      </c>
      <c r="G644" t="s">
        <v>22</v>
      </c>
      <c r="H644">
        <v>3</v>
      </c>
      <c r="I644">
        <v>15000</v>
      </c>
      <c r="J644">
        <f t="shared" si="20"/>
        <v>45000</v>
      </c>
      <c r="K644">
        <f>J644*0.76</f>
        <v>34200</v>
      </c>
      <c r="L644">
        <f t="shared" si="21"/>
        <v>10800</v>
      </c>
    </row>
    <row r="645" spans="1:12" x14ac:dyDescent="0.3">
      <c r="A645" t="s">
        <v>702</v>
      </c>
      <c r="B645" s="2">
        <v>45956</v>
      </c>
      <c r="C645" t="s">
        <v>38</v>
      </c>
      <c r="D645" t="s">
        <v>86</v>
      </c>
      <c r="E645" t="s">
        <v>30</v>
      </c>
      <c r="F645" t="s">
        <v>26</v>
      </c>
      <c r="G645" t="s">
        <v>52</v>
      </c>
      <c r="H645">
        <v>13</v>
      </c>
      <c r="I645">
        <v>35000</v>
      </c>
      <c r="J645">
        <f t="shared" si="20"/>
        <v>455000</v>
      </c>
      <c r="K645">
        <f>J645*0.82</f>
        <v>373100</v>
      </c>
      <c r="L645">
        <f t="shared" si="21"/>
        <v>81900</v>
      </c>
    </row>
    <row r="646" spans="1:12" x14ac:dyDescent="0.3">
      <c r="A646" t="s">
        <v>703</v>
      </c>
      <c r="B646" s="2">
        <v>45925</v>
      </c>
      <c r="C646" t="s">
        <v>13</v>
      </c>
      <c r="D646" t="s">
        <v>25</v>
      </c>
      <c r="E646" t="s">
        <v>46</v>
      </c>
      <c r="F646" t="s">
        <v>26</v>
      </c>
      <c r="G646" t="s">
        <v>27</v>
      </c>
      <c r="H646">
        <v>13</v>
      </c>
      <c r="I646">
        <v>45000</v>
      </c>
      <c r="J646">
        <f t="shared" si="20"/>
        <v>585000</v>
      </c>
      <c r="K646">
        <f>J646*0.74</f>
        <v>432900</v>
      </c>
      <c r="L646">
        <f t="shared" si="21"/>
        <v>152100</v>
      </c>
    </row>
    <row r="647" spans="1:12" x14ac:dyDescent="0.3">
      <c r="A647" t="s">
        <v>704</v>
      </c>
      <c r="B647" s="2">
        <v>45769</v>
      </c>
      <c r="C647" t="s">
        <v>59</v>
      </c>
      <c r="D647" t="s">
        <v>25</v>
      </c>
      <c r="E647" t="s">
        <v>30</v>
      </c>
      <c r="F647" t="s">
        <v>26</v>
      </c>
      <c r="G647" t="s">
        <v>127</v>
      </c>
      <c r="H647">
        <v>3</v>
      </c>
      <c r="I647">
        <v>1500</v>
      </c>
      <c r="J647">
        <f t="shared" si="20"/>
        <v>4500</v>
      </c>
      <c r="K647">
        <f>J647*0.84</f>
        <v>3780</v>
      </c>
      <c r="L647">
        <f t="shared" si="21"/>
        <v>720</v>
      </c>
    </row>
    <row r="648" spans="1:12" x14ac:dyDescent="0.3">
      <c r="A648" t="s">
        <v>705</v>
      </c>
      <c r="B648" s="2">
        <v>45745</v>
      </c>
      <c r="C648" t="s">
        <v>63</v>
      </c>
      <c r="D648" t="s">
        <v>14</v>
      </c>
      <c r="E648" t="s">
        <v>30</v>
      </c>
      <c r="F648" t="s">
        <v>21</v>
      </c>
      <c r="G648" t="s">
        <v>65</v>
      </c>
      <c r="H648">
        <v>19</v>
      </c>
      <c r="I648">
        <v>22000</v>
      </c>
      <c r="J648">
        <f t="shared" si="20"/>
        <v>418000</v>
      </c>
      <c r="K648">
        <f>J648*0.73</f>
        <v>305140</v>
      </c>
      <c r="L648">
        <f t="shared" si="21"/>
        <v>112860</v>
      </c>
    </row>
    <row r="649" spans="1:12" x14ac:dyDescent="0.3">
      <c r="A649" t="s">
        <v>706</v>
      </c>
      <c r="B649" s="2">
        <v>45946</v>
      </c>
      <c r="C649" t="s">
        <v>38</v>
      </c>
      <c r="D649" t="s">
        <v>64</v>
      </c>
      <c r="E649" t="s">
        <v>15</v>
      </c>
      <c r="F649" t="s">
        <v>16</v>
      </c>
      <c r="G649" t="s">
        <v>36</v>
      </c>
      <c r="H649">
        <v>16</v>
      </c>
      <c r="I649">
        <v>150</v>
      </c>
      <c r="J649">
        <f t="shared" si="20"/>
        <v>2400</v>
      </c>
      <c r="K649">
        <f>J649*0.83</f>
        <v>1992</v>
      </c>
      <c r="L649">
        <f t="shared" si="21"/>
        <v>408</v>
      </c>
    </row>
    <row r="650" spans="1:12" x14ac:dyDescent="0.3">
      <c r="A650" t="s">
        <v>707</v>
      </c>
      <c r="B650" s="2">
        <v>45854</v>
      </c>
      <c r="C650" t="s">
        <v>76</v>
      </c>
      <c r="D650" t="s">
        <v>25</v>
      </c>
      <c r="E650" t="s">
        <v>46</v>
      </c>
      <c r="F650" t="s">
        <v>16</v>
      </c>
      <c r="G650" t="s">
        <v>36</v>
      </c>
      <c r="H650">
        <v>10</v>
      </c>
      <c r="I650">
        <v>150</v>
      </c>
      <c r="J650">
        <f t="shared" si="20"/>
        <v>1500</v>
      </c>
      <c r="K650">
        <f>J650*0.84</f>
        <v>1260</v>
      </c>
      <c r="L650">
        <f t="shared" si="21"/>
        <v>240</v>
      </c>
    </row>
    <row r="651" spans="1:12" x14ac:dyDescent="0.3">
      <c r="A651" t="s">
        <v>708</v>
      </c>
      <c r="B651" s="2">
        <v>45738</v>
      </c>
      <c r="C651" t="s">
        <v>63</v>
      </c>
      <c r="D651" t="s">
        <v>14</v>
      </c>
      <c r="E651" t="s">
        <v>35</v>
      </c>
      <c r="F651" t="s">
        <v>16</v>
      </c>
      <c r="G651" t="s">
        <v>36</v>
      </c>
      <c r="H651">
        <v>13</v>
      </c>
      <c r="I651">
        <v>150</v>
      </c>
      <c r="J651">
        <f t="shared" si="20"/>
        <v>1950</v>
      </c>
      <c r="K651">
        <f>J651*0.78</f>
        <v>1521</v>
      </c>
      <c r="L651">
        <f t="shared" si="21"/>
        <v>429</v>
      </c>
    </row>
    <row r="652" spans="1:12" x14ac:dyDescent="0.3">
      <c r="A652" t="s">
        <v>709</v>
      </c>
      <c r="B652" s="2">
        <v>45905</v>
      </c>
      <c r="C652" t="s">
        <v>13</v>
      </c>
      <c r="D652" t="s">
        <v>19</v>
      </c>
      <c r="E652" t="s">
        <v>15</v>
      </c>
      <c r="F652" t="s">
        <v>21</v>
      </c>
      <c r="G652" t="s">
        <v>74</v>
      </c>
      <c r="H652">
        <v>18</v>
      </c>
      <c r="I652">
        <v>12000</v>
      </c>
      <c r="J652">
        <f t="shared" si="20"/>
        <v>216000</v>
      </c>
      <c r="K652">
        <f>J652*0.84</f>
        <v>181440</v>
      </c>
      <c r="L652">
        <f t="shared" si="21"/>
        <v>34560</v>
      </c>
    </row>
    <row r="653" spans="1:12" x14ac:dyDescent="0.3">
      <c r="A653" t="s">
        <v>710</v>
      </c>
      <c r="B653" s="2">
        <v>45947</v>
      </c>
      <c r="C653" t="s">
        <v>38</v>
      </c>
      <c r="D653" t="s">
        <v>51</v>
      </c>
      <c r="E653" t="s">
        <v>46</v>
      </c>
      <c r="F653" t="s">
        <v>16</v>
      </c>
      <c r="G653" t="s">
        <v>92</v>
      </c>
      <c r="H653">
        <v>16</v>
      </c>
      <c r="I653">
        <v>1200</v>
      </c>
      <c r="J653">
        <f t="shared" si="20"/>
        <v>19200</v>
      </c>
      <c r="K653">
        <f>J653*0.82</f>
        <v>15743.999999999998</v>
      </c>
      <c r="L653">
        <f t="shared" si="21"/>
        <v>3456.0000000000018</v>
      </c>
    </row>
    <row r="654" spans="1:12" x14ac:dyDescent="0.3">
      <c r="A654" t="s">
        <v>711</v>
      </c>
      <c r="B654" s="2">
        <v>45658</v>
      </c>
      <c r="C654" t="s">
        <v>29</v>
      </c>
      <c r="D654" t="s">
        <v>19</v>
      </c>
      <c r="E654" t="s">
        <v>46</v>
      </c>
      <c r="F654" t="s">
        <v>21</v>
      </c>
      <c r="G654" t="s">
        <v>65</v>
      </c>
      <c r="H654">
        <v>17</v>
      </c>
      <c r="I654">
        <v>22000</v>
      </c>
      <c r="J654">
        <f t="shared" si="20"/>
        <v>374000</v>
      </c>
      <c r="K654">
        <f>J654*0.73</f>
        <v>273020</v>
      </c>
      <c r="L654">
        <f t="shared" si="21"/>
        <v>100980</v>
      </c>
    </row>
    <row r="655" spans="1:12" x14ac:dyDescent="0.3">
      <c r="A655" t="s">
        <v>712</v>
      </c>
      <c r="B655" s="2">
        <v>45822</v>
      </c>
      <c r="C655" t="s">
        <v>43</v>
      </c>
      <c r="D655" t="s">
        <v>64</v>
      </c>
      <c r="E655" t="s">
        <v>15</v>
      </c>
      <c r="F655" t="s">
        <v>16</v>
      </c>
      <c r="G655" t="s">
        <v>17</v>
      </c>
      <c r="H655">
        <v>8</v>
      </c>
      <c r="I655">
        <v>300</v>
      </c>
      <c r="J655">
        <f t="shared" si="20"/>
        <v>2400</v>
      </c>
      <c r="K655">
        <f>J655*0.73</f>
        <v>1752</v>
      </c>
      <c r="L655">
        <f t="shared" si="21"/>
        <v>648</v>
      </c>
    </row>
    <row r="656" spans="1:12" x14ac:dyDescent="0.3">
      <c r="A656" t="s">
        <v>713</v>
      </c>
      <c r="B656" s="2">
        <v>45720</v>
      </c>
      <c r="C656" t="s">
        <v>63</v>
      </c>
      <c r="D656" t="s">
        <v>19</v>
      </c>
      <c r="E656" t="s">
        <v>15</v>
      </c>
      <c r="F656" t="s">
        <v>26</v>
      </c>
      <c r="G656" t="s">
        <v>52</v>
      </c>
      <c r="H656">
        <v>15</v>
      </c>
      <c r="I656">
        <v>35000</v>
      </c>
      <c r="J656">
        <f t="shared" si="20"/>
        <v>525000</v>
      </c>
      <c r="K656">
        <f>J656*0.79</f>
        <v>414750</v>
      </c>
      <c r="L656">
        <f t="shared" si="21"/>
        <v>110250</v>
      </c>
    </row>
    <row r="657" spans="1:12" x14ac:dyDescent="0.3">
      <c r="A657" t="s">
        <v>714</v>
      </c>
      <c r="B657" s="2">
        <v>45975</v>
      </c>
      <c r="C657" t="s">
        <v>32</v>
      </c>
      <c r="D657" t="s">
        <v>86</v>
      </c>
      <c r="E657" t="s">
        <v>15</v>
      </c>
      <c r="F657" t="s">
        <v>26</v>
      </c>
      <c r="G657" t="s">
        <v>27</v>
      </c>
      <c r="H657">
        <v>16</v>
      </c>
      <c r="I657">
        <v>45000</v>
      </c>
      <c r="J657">
        <f t="shared" si="20"/>
        <v>720000</v>
      </c>
      <c r="K657">
        <f>J657*0.73</f>
        <v>525600</v>
      </c>
      <c r="L657">
        <f t="shared" si="21"/>
        <v>194400</v>
      </c>
    </row>
    <row r="658" spans="1:12" x14ac:dyDescent="0.3">
      <c r="A658" t="s">
        <v>715</v>
      </c>
      <c r="B658" s="2">
        <v>45794</v>
      </c>
      <c r="C658" t="s">
        <v>48</v>
      </c>
      <c r="D658" t="s">
        <v>51</v>
      </c>
      <c r="E658" t="s">
        <v>30</v>
      </c>
      <c r="F658" t="s">
        <v>21</v>
      </c>
      <c r="G658" t="s">
        <v>65</v>
      </c>
      <c r="H658">
        <v>5</v>
      </c>
      <c r="I658">
        <v>22000</v>
      </c>
      <c r="J658">
        <f t="shared" si="20"/>
        <v>110000</v>
      </c>
      <c r="K658">
        <f>J658*0.75</f>
        <v>82500</v>
      </c>
      <c r="L658">
        <f t="shared" si="21"/>
        <v>27500</v>
      </c>
    </row>
    <row r="659" spans="1:12" x14ac:dyDescent="0.3">
      <c r="A659" t="s">
        <v>716</v>
      </c>
      <c r="B659" s="2">
        <v>45953</v>
      </c>
      <c r="C659" t="s">
        <v>38</v>
      </c>
      <c r="D659" t="s">
        <v>51</v>
      </c>
      <c r="E659" t="s">
        <v>35</v>
      </c>
      <c r="F659" t="s">
        <v>21</v>
      </c>
      <c r="G659" t="s">
        <v>22</v>
      </c>
      <c r="H659">
        <v>11</v>
      </c>
      <c r="I659">
        <v>15000</v>
      </c>
      <c r="J659">
        <f t="shared" si="20"/>
        <v>165000</v>
      </c>
      <c r="K659">
        <f>J659*0.74</f>
        <v>122100</v>
      </c>
      <c r="L659">
        <f t="shared" si="21"/>
        <v>42900</v>
      </c>
    </row>
    <row r="660" spans="1:12" x14ac:dyDescent="0.3">
      <c r="A660" t="s">
        <v>717</v>
      </c>
      <c r="B660" s="2">
        <v>46013</v>
      </c>
      <c r="C660" t="s">
        <v>24</v>
      </c>
      <c r="D660" t="s">
        <v>64</v>
      </c>
      <c r="E660" t="s">
        <v>20</v>
      </c>
      <c r="F660" t="s">
        <v>26</v>
      </c>
      <c r="G660" t="s">
        <v>27</v>
      </c>
      <c r="H660">
        <v>9</v>
      </c>
      <c r="I660">
        <v>45000</v>
      </c>
      <c r="J660">
        <f t="shared" si="20"/>
        <v>405000</v>
      </c>
      <c r="K660">
        <f>J660*0.83</f>
        <v>336150</v>
      </c>
      <c r="L660">
        <f t="shared" si="21"/>
        <v>68850</v>
      </c>
    </row>
    <row r="661" spans="1:12" x14ac:dyDescent="0.3">
      <c r="A661" t="s">
        <v>718</v>
      </c>
      <c r="B661" s="2">
        <v>45900</v>
      </c>
      <c r="C661" t="s">
        <v>57</v>
      </c>
      <c r="D661" t="s">
        <v>51</v>
      </c>
      <c r="E661" t="s">
        <v>15</v>
      </c>
      <c r="F661" t="s">
        <v>26</v>
      </c>
      <c r="G661" t="s">
        <v>44</v>
      </c>
      <c r="H661">
        <v>13</v>
      </c>
      <c r="I661">
        <v>25000</v>
      </c>
      <c r="J661">
        <f t="shared" si="20"/>
        <v>325000</v>
      </c>
      <c r="K661">
        <f>J661*0.73</f>
        <v>237250</v>
      </c>
      <c r="L661">
        <f t="shared" si="21"/>
        <v>87750</v>
      </c>
    </row>
    <row r="662" spans="1:12" x14ac:dyDescent="0.3">
      <c r="A662" t="s">
        <v>719</v>
      </c>
      <c r="B662" s="2">
        <v>45946</v>
      </c>
      <c r="C662" t="s">
        <v>38</v>
      </c>
      <c r="D662" t="s">
        <v>83</v>
      </c>
      <c r="E662" t="s">
        <v>35</v>
      </c>
      <c r="F662" t="s">
        <v>26</v>
      </c>
      <c r="G662" t="s">
        <v>111</v>
      </c>
      <c r="H662">
        <v>12</v>
      </c>
      <c r="I662">
        <v>85000</v>
      </c>
      <c r="J662">
        <f t="shared" si="20"/>
        <v>1020000</v>
      </c>
      <c r="K662">
        <f>J662*0.81</f>
        <v>826200</v>
      </c>
      <c r="L662">
        <f t="shared" si="21"/>
        <v>193800</v>
      </c>
    </row>
    <row r="663" spans="1:12" x14ac:dyDescent="0.3">
      <c r="A663" t="s">
        <v>720</v>
      </c>
      <c r="B663" s="2">
        <v>45765</v>
      </c>
      <c r="C663" t="s">
        <v>59</v>
      </c>
      <c r="D663" t="s">
        <v>72</v>
      </c>
      <c r="E663" t="s">
        <v>30</v>
      </c>
      <c r="F663" t="s">
        <v>26</v>
      </c>
      <c r="G663" t="s">
        <v>69</v>
      </c>
      <c r="H663">
        <v>6</v>
      </c>
      <c r="I663">
        <v>2500</v>
      </c>
      <c r="J663">
        <f t="shared" si="20"/>
        <v>15000</v>
      </c>
      <c r="K663">
        <f>J663*0.77</f>
        <v>11550</v>
      </c>
      <c r="L663">
        <f t="shared" si="21"/>
        <v>3450</v>
      </c>
    </row>
    <row r="664" spans="1:12" x14ac:dyDescent="0.3">
      <c r="A664" t="s">
        <v>721</v>
      </c>
      <c r="B664" s="2">
        <v>46022</v>
      </c>
      <c r="C664" t="s">
        <v>24</v>
      </c>
      <c r="D664" t="s">
        <v>86</v>
      </c>
      <c r="E664" t="s">
        <v>35</v>
      </c>
      <c r="F664" t="s">
        <v>26</v>
      </c>
      <c r="G664" t="s">
        <v>94</v>
      </c>
      <c r="H664">
        <v>6</v>
      </c>
      <c r="I664">
        <v>28000</v>
      </c>
      <c r="J664">
        <f t="shared" si="20"/>
        <v>168000</v>
      </c>
      <c r="K664">
        <f>J664*0.76</f>
        <v>127680</v>
      </c>
      <c r="L664">
        <f t="shared" si="21"/>
        <v>40320</v>
      </c>
    </row>
    <row r="665" spans="1:12" x14ac:dyDescent="0.3">
      <c r="A665" t="s">
        <v>722</v>
      </c>
      <c r="B665" s="2">
        <v>45879</v>
      </c>
      <c r="C665" t="s">
        <v>57</v>
      </c>
      <c r="D665" t="s">
        <v>25</v>
      </c>
      <c r="E665" t="s">
        <v>20</v>
      </c>
      <c r="F665" t="s">
        <v>16</v>
      </c>
      <c r="G665" t="s">
        <v>17</v>
      </c>
      <c r="H665">
        <v>17</v>
      </c>
      <c r="I665">
        <v>300</v>
      </c>
      <c r="J665">
        <f t="shared" si="20"/>
        <v>5100</v>
      </c>
      <c r="K665">
        <f>J665*0.71</f>
        <v>3621</v>
      </c>
      <c r="L665">
        <f t="shared" si="21"/>
        <v>1479</v>
      </c>
    </row>
    <row r="666" spans="1:12" x14ac:dyDescent="0.3">
      <c r="A666" t="s">
        <v>723</v>
      </c>
      <c r="B666" s="2">
        <v>45934</v>
      </c>
      <c r="C666" t="s">
        <v>38</v>
      </c>
      <c r="D666" t="s">
        <v>51</v>
      </c>
      <c r="E666" t="s">
        <v>20</v>
      </c>
      <c r="F666" t="s">
        <v>26</v>
      </c>
      <c r="G666" t="s">
        <v>94</v>
      </c>
      <c r="H666">
        <v>18</v>
      </c>
      <c r="I666">
        <v>28000</v>
      </c>
      <c r="J666">
        <f t="shared" si="20"/>
        <v>504000</v>
      </c>
      <c r="K666">
        <f>J666*0.84</f>
        <v>423360</v>
      </c>
      <c r="L666">
        <f t="shared" si="21"/>
        <v>80640</v>
      </c>
    </row>
    <row r="667" spans="1:12" x14ac:dyDescent="0.3">
      <c r="A667" t="s">
        <v>724</v>
      </c>
      <c r="B667" s="2">
        <v>45939</v>
      </c>
      <c r="C667" t="s">
        <v>38</v>
      </c>
      <c r="D667" t="s">
        <v>64</v>
      </c>
      <c r="E667" t="s">
        <v>15</v>
      </c>
      <c r="F667" t="s">
        <v>21</v>
      </c>
      <c r="G667" t="s">
        <v>22</v>
      </c>
      <c r="H667">
        <v>13</v>
      </c>
      <c r="I667">
        <v>15000</v>
      </c>
      <c r="J667">
        <f t="shared" si="20"/>
        <v>195000</v>
      </c>
      <c r="K667">
        <f>J667*0.77</f>
        <v>150150</v>
      </c>
      <c r="L667">
        <f t="shared" si="21"/>
        <v>44850</v>
      </c>
    </row>
    <row r="668" spans="1:12" x14ac:dyDescent="0.3">
      <c r="A668" t="s">
        <v>725</v>
      </c>
      <c r="B668" s="2">
        <v>45970</v>
      </c>
      <c r="C668" t="s">
        <v>32</v>
      </c>
      <c r="D668" t="s">
        <v>14</v>
      </c>
      <c r="E668" t="s">
        <v>15</v>
      </c>
      <c r="F668" t="s">
        <v>16</v>
      </c>
      <c r="G668" t="s">
        <v>92</v>
      </c>
      <c r="H668">
        <v>20</v>
      </c>
      <c r="I668">
        <v>1200</v>
      </c>
      <c r="J668">
        <f t="shared" si="20"/>
        <v>24000</v>
      </c>
      <c r="K668">
        <f>J668*0.8</f>
        <v>19200</v>
      </c>
      <c r="L668">
        <f t="shared" si="21"/>
        <v>4800</v>
      </c>
    </row>
    <row r="669" spans="1:12" x14ac:dyDescent="0.3">
      <c r="A669" t="s">
        <v>726</v>
      </c>
      <c r="B669" s="2">
        <v>45701</v>
      </c>
      <c r="C669" t="s">
        <v>50</v>
      </c>
      <c r="D669" t="s">
        <v>72</v>
      </c>
      <c r="E669" t="s">
        <v>15</v>
      </c>
      <c r="F669" t="s">
        <v>16</v>
      </c>
      <c r="G669" t="s">
        <v>78</v>
      </c>
      <c r="H669">
        <v>20</v>
      </c>
      <c r="I669">
        <v>800</v>
      </c>
      <c r="J669">
        <f t="shared" si="20"/>
        <v>16000</v>
      </c>
      <c r="K669">
        <f>J669*0.79</f>
        <v>12640</v>
      </c>
      <c r="L669">
        <f t="shared" si="21"/>
        <v>3360</v>
      </c>
    </row>
    <row r="670" spans="1:12" x14ac:dyDescent="0.3">
      <c r="A670" t="s">
        <v>727</v>
      </c>
      <c r="B670" s="2">
        <v>45938</v>
      </c>
      <c r="C670" t="s">
        <v>38</v>
      </c>
      <c r="D670" t="s">
        <v>33</v>
      </c>
      <c r="E670" t="s">
        <v>35</v>
      </c>
      <c r="F670" t="s">
        <v>16</v>
      </c>
      <c r="G670" t="s">
        <v>78</v>
      </c>
      <c r="H670">
        <v>2</v>
      </c>
      <c r="I670">
        <v>800</v>
      </c>
      <c r="J670">
        <f t="shared" si="20"/>
        <v>1600</v>
      </c>
      <c r="K670">
        <f>J670*0.8</f>
        <v>1280</v>
      </c>
      <c r="L670">
        <f t="shared" si="21"/>
        <v>320</v>
      </c>
    </row>
    <row r="671" spans="1:12" x14ac:dyDescent="0.3">
      <c r="A671" t="s">
        <v>728</v>
      </c>
      <c r="B671" s="2">
        <v>45862</v>
      </c>
      <c r="C671" t="s">
        <v>76</v>
      </c>
      <c r="D671" t="s">
        <v>51</v>
      </c>
      <c r="E671" t="s">
        <v>15</v>
      </c>
      <c r="F671" t="s">
        <v>16</v>
      </c>
      <c r="G671" t="s">
        <v>17</v>
      </c>
      <c r="H671">
        <v>18</v>
      </c>
      <c r="I671">
        <v>300</v>
      </c>
      <c r="J671">
        <f t="shared" si="20"/>
        <v>5400</v>
      </c>
      <c r="K671">
        <f>J671*0.71</f>
        <v>3834</v>
      </c>
      <c r="L671">
        <f t="shared" si="21"/>
        <v>1566</v>
      </c>
    </row>
    <row r="672" spans="1:12" x14ac:dyDescent="0.3">
      <c r="A672" t="s">
        <v>729</v>
      </c>
      <c r="B672" s="2">
        <v>45850</v>
      </c>
      <c r="C672" t="s">
        <v>76</v>
      </c>
      <c r="D672" t="s">
        <v>25</v>
      </c>
      <c r="E672" t="s">
        <v>15</v>
      </c>
      <c r="F672" t="s">
        <v>26</v>
      </c>
      <c r="G672" t="s">
        <v>27</v>
      </c>
      <c r="H672">
        <v>9</v>
      </c>
      <c r="I672">
        <v>45000</v>
      </c>
      <c r="J672">
        <f t="shared" si="20"/>
        <v>405000</v>
      </c>
      <c r="K672">
        <f>J672*0.79</f>
        <v>319950</v>
      </c>
      <c r="L672">
        <f t="shared" si="21"/>
        <v>85050</v>
      </c>
    </row>
    <row r="673" spans="1:12" x14ac:dyDescent="0.3">
      <c r="A673" t="s">
        <v>730</v>
      </c>
      <c r="B673" s="2">
        <v>45935</v>
      </c>
      <c r="C673" t="s">
        <v>38</v>
      </c>
      <c r="D673" t="s">
        <v>83</v>
      </c>
      <c r="E673" t="s">
        <v>46</v>
      </c>
      <c r="F673" t="s">
        <v>21</v>
      </c>
      <c r="G673" t="s">
        <v>54</v>
      </c>
      <c r="H673">
        <v>9</v>
      </c>
      <c r="I673">
        <v>18000</v>
      </c>
      <c r="J673">
        <f t="shared" si="20"/>
        <v>162000</v>
      </c>
      <c r="K673">
        <f>J673*0.83</f>
        <v>134460</v>
      </c>
      <c r="L673">
        <f t="shared" si="21"/>
        <v>27540</v>
      </c>
    </row>
    <row r="674" spans="1:12" x14ac:dyDescent="0.3">
      <c r="A674" t="s">
        <v>731</v>
      </c>
      <c r="B674" s="2">
        <v>45714</v>
      </c>
      <c r="C674" t="s">
        <v>50</v>
      </c>
      <c r="D674" t="s">
        <v>64</v>
      </c>
      <c r="E674" t="s">
        <v>35</v>
      </c>
      <c r="F674" t="s">
        <v>16</v>
      </c>
      <c r="G674" t="s">
        <v>60</v>
      </c>
      <c r="H674">
        <v>3</v>
      </c>
      <c r="I674">
        <v>250</v>
      </c>
      <c r="J674">
        <f t="shared" si="20"/>
        <v>750</v>
      </c>
      <c r="K674">
        <f>J674*0.77</f>
        <v>577.5</v>
      </c>
      <c r="L674">
        <f t="shared" si="21"/>
        <v>172.5</v>
      </c>
    </row>
    <row r="675" spans="1:12" x14ac:dyDescent="0.3">
      <c r="A675" t="s">
        <v>732</v>
      </c>
      <c r="B675" s="2">
        <v>45992</v>
      </c>
      <c r="C675" t="s">
        <v>24</v>
      </c>
      <c r="D675" t="s">
        <v>14</v>
      </c>
      <c r="E675" t="s">
        <v>30</v>
      </c>
      <c r="F675" t="s">
        <v>21</v>
      </c>
      <c r="G675" t="s">
        <v>65</v>
      </c>
      <c r="H675">
        <v>17</v>
      </c>
      <c r="I675">
        <v>22000</v>
      </c>
      <c r="J675">
        <f t="shared" si="20"/>
        <v>374000</v>
      </c>
      <c r="K675">
        <f>J675*0.81</f>
        <v>302940</v>
      </c>
      <c r="L675">
        <f t="shared" si="21"/>
        <v>71060</v>
      </c>
    </row>
    <row r="676" spans="1:12" x14ac:dyDescent="0.3">
      <c r="A676" t="s">
        <v>733</v>
      </c>
      <c r="B676" s="2">
        <v>45670</v>
      </c>
      <c r="C676" t="s">
        <v>29</v>
      </c>
      <c r="D676" t="s">
        <v>64</v>
      </c>
      <c r="E676" t="s">
        <v>15</v>
      </c>
      <c r="F676" t="s">
        <v>21</v>
      </c>
      <c r="G676" t="s">
        <v>22</v>
      </c>
      <c r="H676">
        <v>2</v>
      </c>
      <c r="I676">
        <v>15000</v>
      </c>
      <c r="J676">
        <f t="shared" si="20"/>
        <v>30000</v>
      </c>
      <c r="K676">
        <f>J676*0.71</f>
        <v>21300</v>
      </c>
      <c r="L676">
        <f t="shared" si="21"/>
        <v>8700</v>
      </c>
    </row>
    <row r="677" spans="1:12" x14ac:dyDescent="0.3">
      <c r="A677" t="s">
        <v>734</v>
      </c>
      <c r="B677" s="2">
        <v>45952</v>
      </c>
      <c r="C677" t="s">
        <v>38</v>
      </c>
      <c r="D677" t="s">
        <v>33</v>
      </c>
      <c r="E677" t="s">
        <v>15</v>
      </c>
      <c r="F677" t="s">
        <v>16</v>
      </c>
      <c r="G677" t="s">
        <v>17</v>
      </c>
      <c r="H677">
        <v>11</v>
      </c>
      <c r="I677">
        <v>300</v>
      </c>
      <c r="J677">
        <f t="shared" si="20"/>
        <v>3300</v>
      </c>
      <c r="K677">
        <f>J677*0.76</f>
        <v>2508</v>
      </c>
      <c r="L677">
        <f t="shared" si="21"/>
        <v>792</v>
      </c>
    </row>
    <row r="678" spans="1:12" x14ac:dyDescent="0.3">
      <c r="A678" t="s">
        <v>735</v>
      </c>
      <c r="B678" s="2">
        <v>45667</v>
      </c>
      <c r="C678" t="s">
        <v>29</v>
      </c>
      <c r="D678" t="s">
        <v>64</v>
      </c>
      <c r="E678" t="s">
        <v>15</v>
      </c>
      <c r="F678" t="s">
        <v>26</v>
      </c>
      <c r="G678" t="s">
        <v>94</v>
      </c>
      <c r="H678">
        <v>18</v>
      </c>
      <c r="I678">
        <v>28000</v>
      </c>
      <c r="J678">
        <f t="shared" si="20"/>
        <v>504000</v>
      </c>
      <c r="K678">
        <f>J678*0.75</f>
        <v>378000</v>
      </c>
      <c r="L678">
        <f t="shared" si="21"/>
        <v>126000</v>
      </c>
    </row>
    <row r="679" spans="1:12" x14ac:dyDescent="0.3">
      <c r="A679" t="s">
        <v>736</v>
      </c>
      <c r="B679" s="2">
        <v>45984</v>
      </c>
      <c r="C679" t="s">
        <v>32</v>
      </c>
      <c r="D679" t="s">
        <v>72</v>
      </c>
      <c r="E679" t="s">
        <v>20</v>
      </c>
      <c r="F679" t="s">
        <v>16</v>
      </c>
      <c r="G679" t="s">
        <v>60</v>
      </c>
      <c r="H679">
        <v>14</v>
      </c>
      <c r="I679">
        <v>250</v>
      </c>
      <c r="J679">
        <f t="shared" si="20"/>
        <v>3500</v>
      </c>
      <c r="K679">
        <f>J679*0.7</f>
        <v>2450</v>
      </c>
      <c r="L679">
        <f t="shared" si="21"/>
        <v>1050</v>
      </c>
    </row>
    <row r="680" spans="1:12" x14ac:dyDescent="0.3">
      <c r="A680" t="s">
        <v>737</v>
      </c>
      <c r="B680" s="2">
        <v>45720</v>
      </c>
      <c r="C680" t="s">
        <v>63</v>
      </c>
      <c r="D680" t="s">
        <v>14</v>
      </c>
      <c r="E680" t="s">
        <v>20</v>
      </c>
      <c r="F680" t="s">
        <v>21</v>
      </c>
      <c r="G680" t="s">
        <v>65</v>
      </c>
      <c r="H680">
        <v>6</v>
      </c>
      <c r="I680">
        <v>22000</v>
      </c>
      <c r="J680">
        <f t="shared" si="20"/>
        <v>132000</v>
      </c>
      <c r="K680">
        <f>J680*0.8</f>
        <v>105600</v>
      </c>
      <c r="L680">
        <f t="shared" si="21"/>
        <v>26400</v>
      </c>
    </row>
    <row r="681" spans="1:12" x14ac:dyDescent="0.3">
      <c r="A681" t="s">
        <v>738</v>
      </c>
      <c r="B681" s="2">
        <v>45998</v>
      </c>
      <c r="C681" t="s">
        <v>24</v>
      </c>
      <c r="D681" t="s">
        <v>51</v>
      </c>
      <c r="E681" t="s">
        <v>20</v>
      </c>
      <c r="F681" t="s">
        <v>26</v>
      </c>
      <c r="G681" t="s">
        <v>127</v>
      </c>
      <c r="H681">
        <v>5</v>
      </c>
      <c r="I681">
        <v>1500</v>
      </c>
      <c r="J681">
        <f t="shared" si="20"/>
        <v>7500</v>
      </c>
      <c r="K681">
        <f>J681*0.7</f>
        <v>5250</v>
      </c>
      <c r="L681">
        <f t="shared" si="21"/>
        <v>2250</v>
      </c>
    </row>
    <row r="682" spans="1:12" x14ac:dyDescent="0.3">
      <c r="A682" t="s">
        <v>739</v>
      </c>
      <c r="B682" s="2">
        <v>45906</v>
      </c>
      <c r="C682" t="s">
        <v>13</v>
      </c>
      <c r="D682" t="s">
        <v>83</v>
      </c>
      <c r="E682" t="s">
        <v>30</v>
      </c>
      <c r="F682" t="s">
        <v>26</v>
      </c>
      <c r="G682" t="s">
        <v>52</v>
      </c>
      <c r="H682">
        <v>8</v>
      </c>
      <c r="I682">
        <v>35000</v>
      </c>
      <c r="J682">
        <f t="shared" si="20"/>
        <v>280000</v>
      </c>
      <c r="K682">
        <f>J682*0.8</f>
        <v>224000</v>
      </c>
      <c r="L682">
        <f t="shared" si="21"/>
        <v>56000</v>
      </c>
    </row>
    <row r="683" spans="1:12" x14ac:dyDescent="0.3">
      <c r="A683" t="s">
        <v>740</v>
      </c>
      <c r="B683" s="2">
        <v>45697</v>
      </c>
      <c r="C683" t="s">
        <v>50</v>
      </c>
      <c r="D683" t="s">
        <v>86</v>
      </c>
      <c r="E683" t="s">
        <v>20</v>
      </c>
      <c r="F683" t="s">
        <v>26</v>
      </c>
      <c r="G683" t="s">
        <v>44</v>
      </c>
      <c r="H683">
        <v>12</v>
      </c>
      <c r="I683">
        <v>25000</v>
      </c>
      <c r="J683">
        <f t="shared" si="20"/>
        <v>300000</v>
      </c>
      <c r="K683">
        <f>J683*0.84</f>
        <v>252000</v>
      </c>
      <c r="L683">
        <f t="shared" si="21"/>
        <v>48000</v>
      </c>
    </row>
    <row r="684" spans="1:12" x14ac:dyDescent="0.3">
      <c r="A684" t="s">
        <v>741</v>
      </c>
      <c r="B684" s="2">
        <v>45721</v>
      </c>
      <c r="C684" t="s">
        <v>63</v>
      </c>
      <c r="D684" t="s">
        <v>14</v>
      </c>
      <c r="E684" t="s">
        <v>15</v>
      </c>
      <c r="F684" t="s">
        <v>16</v>
      </c>
      <c r="G684" t="s">
        <v>78</v>
      </c>
      <c r="H684">
        <v>12</v>
      </c>
      <c r="I684">
        <v>800</v>
      </c>
      <c r="J684">
        <f t="shared" si="20"/>
        <v>9600</v>
      </c>
      <c r="K684">
        <f>J684*0.81</f>
        <v>7776.0000000000009</v>
      </c>
      <c r="L684">
        <f t="shared" si="21"/>
        <v>1823.9999999999991</v>
      </c>
    </row>
    <row r="685" spans="1:12" x14ac:dyDescent="0.3">
      <c r="A685" t="s">
        <v>742</v>
      </c>
      <c r="B685" s="2">
        <v>45852</v>
      </c>
      <c r="C685" t="s">
        <v>76</v>
      </c>
      <c r="D685" t="s">
        <v>86</v>
      </c>
      <c r="E685" t="s">
        <v>20</v>
      </c>
      <c r="F685" t="s">
        <v>21</v>
      </c>
      <c r="G685" t="s">
        <v>74</v>
      </c>
      <c r="H685">
        <v>17</v>
      </c>
      <c r="I685">
        <v>12000</v>
      </c>
      <c r="J685">
        <f t="shared" si="20"/>
        <v>204000</v>
      </c>
      <c r="K685">
        <f>J685*0.76</f>
        <v>155040</v>
      </c>
      <c r="L685">
        <f t="shared" si="21"/>
        <v>48960</v>
      </c>
    </row>
    <row r="686" spans="1:12" x14ac:dyDescent="0.3">
      <c r="A686" t="s">
        <v>743</v>
      </c>
      <c r="B686" s="2">
        <v>45782</v>
      </c>
      <c r="C686" t="s">
        <v>48</v>
      </c>
      <c r="D686" t="s">
        <v>19</v>
      </c>
      <c r="E686" t="s">
        <v>35</v>
      </c>
      <c r="F686" t="s">
        <v>26</v>
      </c>
      <c r="G686" t="s">
        <v>69</v>
      </c>
      <c r="H686">
        <v>3</v>
      </c>
      <c r="I686">
        <v>2500</v>
      </c>
      <c r="J686">
        <f t="shared" si="20"/>
        <v>7500</v>
      </c>
      <c r="K686">
        <f>J686*0.75</f>
        <v>5625</v>
      </c>
      <c r="L686">
        <f t="shared" si="21"/>
        <v>1875</v>
      </c>
    </row>
    <row r="687" spans="1:12" x14ac:dyDescent="0.3">
      <c r="A687" t="s">
        <v>744</v>
      </c>
      <c r="B687" s="2">
        <v>45921</v>
      </c>
      <c r="C687" t="s">
        <v>13</v>
      </c>
      <c r="D687" t="s">
        <v>33</v>
      </c>
      <c r="E687" t="s">
        <v>35</v>
      </c>
      <c r="F687" t="s">
        <v>26</v>
      </c>
      <c r="G687" t="s">
        <v>27</v>
      </c>
      <c r="H687">
        <v>18</v>
      </c>
      <c r="I687">
        <v>45000</v>
      </c>
      <c r="J687">
        <f t="shared" si="20"/>
        <v>810000</v>
      </c>
      <c r="K687">
        <f>J687*0.73</f>
        <v>591300</v>
      </c>
      <c r="L687">
        <f t="shared" si="21"/>
        <v>218700</v>
      </c>
    </row>
    <row r="688" spans="1:12" x14ac:dyDescent="0.3">
      <c r="A688" t="s">
        <v>745</v>
      </c>
      <c r="B688" s="2">
        <v>45686</v>
      </c>
      <c r="C688" t="s">
        <v>29</v>
      </c>
      <c r="D688" t="s">
        <v>51</v>
      </c>
      <c r="E688" t="s">
        <v>20</v>
      </c>
      <c r="F688" t="s">
        <v>21</v>
      </c>
      <c r="G688" t="s">
        <v>22</v>
      </c>
      <c r="H688">
        <v>17</v>
      </c>
      <c r="I688">
        <v>15000</v>
      </c>
      <c r="J688">
        <f t="shared" si="20"/>
        <v>255000</v>
      </c>
      <c r="K688">
        <f>J688*0.8</f>
        <v>204000</v>
      </c>
      <c r="L688">
        <f t="shared" si="21"/>
        <v>51000</v>
      </c>
    </row>
    <row r="689" spans="1:12" x14ac:dyDescent="0.3">
      <c r="A689" t="s">
        <v>746</v>
      </c>
      <c r="B689" s="2">
        <v>45863</v>
      </c>
      <c r="C689" t="s">
        <v>76</v>
      </c>
      <c r="D689" t="s">
        <v>51</v>
      </c>
      <c r="E689" t="s">
        <v>30</v>
      </c>
      <c r="F689" t="s">
        <v>16</v>
      </c>
      <c r="G689" t="s">
        <v>36</v>
      </c>
      <c r="H689">
        <v>18</v>
      </c>
      <c r="I689">
        <v>150</v>
      </c>
      <c r="J689">
        <f t="shared" si="20"/>
        <v>2700</v>
      </c>
      <c r="K689">
        <f>J689*0.78</f>
        <v>2106</v>
      </c>
      <c r="L689">
        <f t="shared" si="21"/>
        <v>594</v>
      </c>
    </row>
    <row r="690" spans="1:12" x14ac:dyDescent="0.3">
      <c r="A690" t="s">
        <v>747</v>
      </c>
      <c r="B690" s="2">
        <v>45926</v>
      </c>
      <c r="C690" t="s">
        <v>13</v>
      </c>
      <c r="D690" t="s">
        <v>64</v>
      </c>
      <c r="E690" t="s">
        <v>20</v>
      </c>
      <c r="F690" t="s">
        <v>16</v>
      </c>
      <c r="G690" t="s">
        <v>92</v>
      </c>
      <c r="H690">
        <v>9</v>
      </c>
      <c r="I690">
        <v>1200</v>
      </c>
      <c r="J690">
        <f t="shared" si="20"/>
        <v>10800</v>
      </c>
      <c r="K690">
        <f>J690*0.75</f>
        <v>8100</v>
      </c>
      <c r="L690">
        <f t="shared" si="21"/>
        <v>2700</v>
      </c>
    </row>
    <row r="691" spans="1:12" x14ac:dyDescent="0.3">
      <c r="A691" t="s">
        <v>748</v>
      </c>
      <c r="B691" s="2">
        <v>45737</v>
      </c>
      <c r="C691" t="s">
        <v>63</v>
      </c>
      <c r="D691" t="s">
        <v>64</v>
      </c>
      <c r="E691" t="s">
        <v>15</v>
      </c>
      <c r="F691" t="s">
        <v>16</v>
      </c>
      <c r="G691" t="s">
        <v>60</v>
      </c>
      <c r="H691">
        <v>7</v>
      </c>
      <c r="I691">
        <v>250</v>
      </c>
      <c r="J691">
        <f t="shared" si="20"/>
        <v>1750</v>
      </c>
      <c r="K691">
        <f>J691*0.71</f>
        <v>1242.5</v>
      </c>
      <c r="L691">
        <f t="shared" si="21"/>
        <v>507.5</v>
      </c>
    </row>
    <row r="692" spans="1:12" x14ac:dyDescent="0.3">
      <c r="A692" t="s">
        <v>749</v>
      </c>
      <c r="B692" s="2">
        <v>45907</v>
      </c>
      <c r="C692" t="s">
        <v>13</v>
      </c>
      <c r="D692" t="s">
        <v>86</v>
      </c>
      <c r="E692" t="s">
        <v>20</v>
      </c>
      <c r="F692" t="s">
        <v>16</v>
      </c>
      <c r="G692" t="s">
        <v>60</v>
      </c>
      <c r="H692">
        <v>17</v>
      </c>
      <c r="I692">
        <v>250</v>
      </c>
      <c r="J692">
        <f t="shared" si="20"/>
        <v>4250</v>
      </c>
      <c r="K692">
        <f>J692*0.73</f>
        <v>3102.5</v>
      </c>
      <c r="L692">
        <f t="shared" si="21"/>
        <v>1147.5</v>
      </c>
    </row>
    <row r="693" spans="1:12" x14ac:dyDescent="0.3">
      <c r="A693" t="s">
        <v>750</v>
      </c>
      <c r="B693" s="2">
        <v>45782</v>
      </c>
      <c r="C693" t="s">
        <v>48</v>
      </c>
      <c r="D693" t="s">
        <v>64</v>
      </c>
      <c r="E693" t="s">
        <v>20</v>
      </c>
      <c r="F693" t="s">
        <v>16</v>
      </c>
      <c r="G693" t="s">
        <v>78</v>
      </c>
      <c r="H693">
        <v>14</v>
      </c>
      <c r="I693">
        <v>800</v>
      </c>
      <c r="J693">
        <f t="shared" si="20"/>
        <v>11200</v>
      </c>
      <c r="K693">
        <f>J693*0.76</f>
        <v>8512</v>
      </c>
      <c r="L693">
        <f t="shared" si="21"/>
        <v>2688</v>
      </c>
    </row>
    <row r="694" spans="1:12" x14ac:dyDescent="0.3">
      <c r="A694" t="s">
        <v>751</v>
      </c>
      <c r="B694" s="2">
        <v>45886</v>
      </c>
      <c r="C694" t="s">
        <v>57</v>
      </c>
      <c r="D694" t="s">
        <v>39</v>
      </c>
      <c r="E694" t="s">
        <v>30</v>
      </c>
      <c r="F694" t="s">
        <v>26</v>
      </c>
      <c r="G694" t="s">
        <v>127</v>
      </c>
      <c r="H694">
        <v>13</v>
      </c>
      <c r="I694">
        <v>1500</v>
      </c>
      <c r="J694">
        <f t="shared" si="20"/>
        <v>19500</v>
      </c>
      <c r="K694">
        <f>J694*0.74</f>
        <v>14430</v>
      </c>
      <c r="L694">
        <f t="shared" si="21"/>
        <v>5070</v>
      </c>
    </row>
    <row r="695" spans="1:12" x14ac:dyDescent="0.3">
      <c r="A695" t="s">
        <v>752</v>
      </c>
      <c r="B695" s="2">
        <v>45961</v>
      </c>
      <c r="C695" t="s">
        <v>38</v>
      </c>
      <c r="D695" t="s">
        <v>64</v>
      </c>
      <c r="E695" t="s">
        <v>35</v>
      </c>
      <c r="F695" t="s">
        <v>21</v>
      </c>
      <c r="G695" t="s">
        <v>40</v>
      </c>
      <c r="H695">
        <v>6</v>
      </c>
      <c r="I695">
        <v>5000</v>
      </c>
      <c r="J695">
        <f t="shared" si="20"/>
        <v>30000</v>
      </c>
      <c r="K695">
        <f>J695*0.71</f>
        <v>21300</v>
      </c>
      <c r="L695">
        <f t="shared" si="21"/>
        <v>8700</v>
      </c>
    </row>
    <row r="696" spans="1:12" x14ac:dyDescent="0.3">
      <c r="A696" t="s">
        <v>753</v>
      </c>
      <c r="B696" s="2">
        <v>45659</v>
      </c>
      <c r="C696" t="s">
        <v>29</v>
      </c>
      <c r="D696" t="s">
        <v>51</v>
      </c>
      <c r="E696" t="s">
        <v>20</v>
      </c>
      <c r="F696" t="s">
        <v>21</v>
      </c>
      <c r="G696" t="s">
        <v>40</v>
      </c>
      <c r="H696">
        <v>4</v>
      </c>
      <c r="I696">
        <v>5000</v>
      </c>
      <c r="J696">
        <f t="shared" si="20"/>
        <v>20000</v>
      </c>
      <c r="K696">
        <f>J696*0.84</f>
        <v>16800</v>
      </c>
      <c r="L696">
        <f t="shared" si="21"/>
        <v>3200</v>
      </c>
    </row>
    <row r="697" spans="1:12" x14ac:dyDescent="0.3">
      <c r="A697" t="s">
        <v>754</v>
      </c>
      <c r="B697" s="2">
        <v>45772</v>
      </c>
      <c r="C697" t="s">
        <v>59</v>
      </c>
      <c r="D697" t="s">
        <v>14</v>
      </c>
      <c r="E697" t="s">
        <v>30</v>
      </c>
      <c r="F697" t="s">
        <v>16</v>
      </c>
      <c r="G697" t="s">
        <v>78</v>
      </c>
      <c r="H697">
        <v>12</v>
      </c>
      <c r="I697">
        <v>800</v>
      </c>
      <c r="J697">
        <f t="shared" si="20"/>
        <v>9600</v>
      </c>
      <c r="K697">
        <f>J697*0.79</f>
        <v>7584</v>
      </c>
      <c r="L697">
        <f t="shared" si="21"/>
        <v>2016</v>
      </c>
    </row>
    <row r="698" spans="1:12" x14ac:dyDescent="0.3">
      <c r="A698" t="s">
        <v>755</v>
      </c>
      <c r="B698" s="2">
        <v>45698</v>
      </c>
      <c r="C698" t="s">
        <v>50</v>
      </c>
      <c r="D698" t="s">
        <v>19</v>
      </c>
      <c r="E698" t="s">
        <v>35</v>
      </c>
      <c r="F698" t="s">
        <v>26</v>
      </c>
      <c r="G698" t="s">
        <v>69</v>
      </c>
      <c r="H698">
        <v>13</v>
      </c>
      <c r="I698">
        <v>2500</v>
      </c>
      <c r="J698">
        <f t="shared" si="20"/>
        <v>32500</v>
      </c>
      <c r="K698">
        <f>J698*0.84</f>
        <v>27300</v>
      </c>
      <c r="L698">
        <f t="shared" si="21"/>
        <v>5200</v>
      </c>
    </row>
    <row r="699" spans="1:12" x14ac:dyDescent="0.3">
      <c r="A699" t="s">
        <v>756</v>
      </c>
      <c r="B699" s="2">
        <v>45919</v>
      </c>
      <c r="C699" t="s">
        <v>13</v>
      </c>
      <c r="D699" t="s">
        <v>64</v>
      </c>
      <c r="E699" t="s">
        <v>20</v>
      </c>
      <c r="F699" t="s">
        <v>26</v>
      </c>
      <c r="G699" t="s">
        <v>69</v>
      </c>
      <c r="H699">
        <v>19</v>
      </c>
      <c r="I699">
        <v>2500</v>
      </c>
      <c r="J699">
        <f t="shared" si="20"/>
        <v>47500</v>
      </c>
      <c r="K699">
        <f>J699*0.84</f>
        <v>39900</v>
      </c>
      <c r="L699">
        <f t="shared" si="21"/>
        <v>7600</v>
      </c>
    </row>
    <row r="700" spans="1:12" x14ac:dyDescent="0.3">
      <c r="A700" t="s">
        <v>757</v>
      </c>
      <c r="B700" s="2">
        <v>46021</v>
      </c>
      <c r="C700" t="s">
        <v>24</v>
      </c>
      <c r="D700" t="s">
        <v>25</v>
      </c>
      <c r="E700" t="s">
        <v>46</v>
      </c>
      <c r="F700" t="s">
        <v>16</v>
      </c>
      <c r="G700" t="s">
        <v>92</v>
      </c>
      <c r="H700">
        <v>9</v>
      </c>
      <c r="I700">
        <v>1200</v>
      </c>
      <c r="J700">
        <f t="shared" si="20"/>
        <v>10800</v>
      </c>
      <c r="K700">
        <f>J700*0.8</f>
        <v>8640</v>
      </c>
      <c r="L700">
        <f t="shared" si="21"/>
        <v>2160</v>
      </c>
    </row>
    <row r="701" spans="1:12" x14ac:dyDescent="0.3">
      <c r="A701" t="s">
        <v>758</v>
      </c>
      <c r="B701" s="2">
        <v>45761</v>
      </c>
      <c r="C701" t="s">
        <v>59</v>
      </c>
      <c r="D701" t="s">
        <v>83</v>
      </c>
      <c r="E701" t="s">
        <v>30</v>
      </c>
      <c r="F701" t="s">
        <v>16</v>
      </c>
      <c r="G701" t="s">
        <v>36</v>
      </c>
      <c r="H701">
        <v>16</v>
      </c>
      <c r="I701">
        <v>150</v>
      </c>
      <c r="J701">
        <f t="shared" si="20"/>
        <v>2400</v>
      </c>
      <c r="K701">
        <f>J701*0.82</f>
        <v>1967.9999999999998</v>
      </c>
      <c r="L701">
        <f t="shared" si="21"/>
        <v>432.00000000000023</v>
      </c>
    </row>
    <row r="702" spans="1:12" x14ac:dyDescent="0.3">
      <c r="A702" t="s">
        <v>759</v>
      </c>
      <c r="B702" s="2">
        <v>45738</v>
      </c>
      <c r="C702" t="s">
        <v>63</v>
      </c>
      <c r="D702" t="s">
        <v>33</v>
      </c>
      <c r="E702" t="s">
        <v>30</v>
      </c>
      <c r="F702" t="s">
        <v>16</v>
      </c>
      <c r="G702" t="s">
        <v>92</v>
      </c>
      <c r="H702">
        <v>5</v>
      </c>
      <c r="I702">
        <v>1200</v>
      </c>
      <c r="J702">
        <f t="shared" si="20"/>
        <v>6000</v>
      </c>
      <c r="K702">
        <f>J702*0.81</f>
        <v>4860</v>
      </c>
      <c r="L702">
        <f t="shared" si="21"/>
        <v>1140</v>
      </c>
    </row>
    <row r="703" spans="1:12" x14ac:dyDescent="0.3">
      <c r="A703" t="s">
        <v>760</v>
      </c>
      <c r="B703" s="2">
        <v>45994</v>
      </c>
      <c r="C703" t="s">
        <v>24</v>
      </c>
      <c r="D703" t="s">
        <v>39</v>
      </c>
      <c r="E703" t="s">
        <v>30</v>
      </c>
      <c r="F703" t="s">
        <v>16</v>
      </c>
      <c r="G703" t="s">
        <v>60</v>
      </c>
      <c r="H703">
        <v>9</v>
      </c>
      <c r="I703">
        <v>250</v>
      </c>
      <c r="J703">
        <f t="shared" si="20"/>
        <v>2250</v>
      </c>
      <c r="K703">
        <f>J703*0.79</f>
        <v>1777.5</v>
      </c>
      <c r="L703">
        <f t="shared" si="21"/>
        <v>472.5</v>
      </c>
    </row>
    <row r="704" spans="1:12" x14ac:dyDescent="0.3">
      <c r="A704" t="s">
        <v>761</v>
      </c>
      <c r="B704" s="2">
        <v>45737</v>
      </c>
      <c r="C704" t="s">
        <v>63</v>
      </c>
      <c r="D704" t="s">
        <v>33</v>
      </c>
      <c r="E704" t="s">
        <v>35</v>
      </c>
      <c r="F704" t="s">
        <v>26</v>
      </c>
      <c r="G704" t="s">
        <v>94</v>
      </c>
      <c r="H704">
        <v>6</v>
      </c>
      <c r="I704">
        <v>28000</v>
      </c>
      <c r="J704">
        <f t="shared" si="20"/>
        <v>168000</v>
      </c>
      <c r="K704">
        <f>J704*0.76</f>
        <v>127680</v>
      </c>
      <c r="L704">
        <f t="shared" si="21"/>
        <v>40320</v>
      </c>
    </row>
    <row r="705" spans="1:12" x14ac:dyDescent="0.3">
      <c r="A705" t="s">
        <v>762</v>
      </c>
      <c r="B705" s="2">
        <v>46008</v>
      </c>
      <c r="C705" t="s">
        <v>24</v>
      </c>
      <c r="D705" t="s">
        <v>39</v>
      </c>
      <c r="E705" t="s">
        <v>30</v>
      </c>
      <c r="F705" t="s">
        <v>21</v>
      </c>
      <c r="G705" t="s">
        <v>40</v>
      </c>
      <c r="H705">
        <v>10</v>
      </c>
      <c r="I705">
        <v>5000</v>
      </c>
      <c r="J705">
        <f t="shared" si="20"/>
        <v>50000</v>
      </c>
      <c r="K705">
        <f>J705*0.8</f>
        <v>40000</v>
      </c>
      <c r="L705">
        <f t="shared" si="21"/>
        <v>10000</v>
      </c>
    </row>
    <row r="706" spans="1:12" x14ac:dyDescent="0.3">
      <c r="A706" t="s">
        <v>763</v>
      </c>
      <c r="B706" s="2">
        <v>45797</v>
      </c>
      <c r="C706" t="s">
        <v>48</v>
      </c>
      <c r="D706" t="s">
        <v>14</v>
      </c>
      <c r="E706" t="s">
        <v>20</v>
      </c>
      <c r="F706" t="s">
        <v>21</v>
      </c>
      <c r="G706" t="s">
        <v>22</v>
      </c>
      <c r="H706">
        <v>17</v>
      </c>
      <c r="I706">
        <v>15000</v>
      </c>
      <c r="J706">
        <f t="shared" ref="J706:J769" si="22">H706*I706</f>
        <v>255000</v>
      </c>
      <c r="K706">
        <f>J706*0.78</f>
        <v>198900</v>
      </c>
      <c r="L706">
        <f t="shared" ref="L706:L769" si="23">J706-K706</f>
        <v>56100</v>
      </c>
    </row>
    <row r="707" spans="1:12" x14ac:dyDescent="0.3">
      <c r="A707" t="s">
        <v>764</v>
      </c>
      <c r="B707" s="2">
        <v>45919</v>
      </c>
      <c r="C707" t="s">
        <v>13</v>
      </c>
      <c r="D707" t="s">
        <v>72</v>
      </c>
      <c r="E707" t="s">
        <v>30</v>
      </c>
      <c r="F707" t="s">
        <v>26</v>
      </c>
      <c r="G707" t="s">
        <v>52</v>
      </c>
      <c r="H707">
        <v>18</v>
      </c>
      <c r="I707">
        <v>35000</v>
      </c>
      <c r="J707">
        <f t="shared" si="22"/>
        <v>630000</v>
      </c>
      <c r="K707">
        <f>J707*0.8</f>
        <v>504000</v>
      </c>
      <c r="L707">
        <f t="shared" si="23"/>
        <v>126000</v>
      </c>
    </row>
    <row r="708" spans="1:12" x14ac:dyDescent="0.3">
      <c r="A708" t="s">
        <v>765</v>
      </c>
      <c r="B708" s="2">
        <v>45767</v>
      </c>
      <c r="C708" t="s">
        <v>59</v>
      </c>
      <c r="D708" t="s">
        <v>64</v>
      </c>
      <c r="E708" t="s">
        <v>46</v>
      </c>
      <c r="F708" t="s">
        <v>26</v>
      </c>
      <c r="G708" t="s">
        <v>44</v>
      </c>
      <c r="H708">
        <v>19</v>
      </c>
      <c r="I708">
        <v>25000</v>
      </c>
      <c r="J708">
        <f t="shared" si="22"/>
        <v>475000</v>
      </c>
      <c r="K708">
        <f>J708*0.76</f>
        <v>361000</v>
      </c>
      <c r="L708">
        <f t="shared" si="23"/>
        <v>114000</v>
      </c>
    </row>
    <row r="709" spans="1:12" x14ac:dyDescent="0.3">
      <c r="A709" t="s">
        <v>766</v>
      </c>
      <c r="B709" s="2">
        <v>45857</v>
      </c>
      <c r="C709" t="s">
        <v>76</v>
      </c>
      <c r="D709" t="s">
        <v>14</v>
      </c>
      <c r="E709" t="s">
        <v>30</v>
      </c>
      <c r="F709" t="s">
        <v>21</v>
      </c>
      <c r="G709" t="s">
        <v>74</v>
      </c>
      <c r="H709">
        <v>14</v>
      </c>
      <c r="I709">
        <v>12000</v>
      </c>
      <c r="J709">
        <f t="shared" si="22"/>
        <v>168000</v>
      </c>
      <c r="K709">
        <f>J709*0.72</f>
        <v>120960</v>
      </c>
      <c r="L709">
        <f t="shared" si="23"/>
        <v>47040</v>
      </c>
    </row>
    <row r="710" spans="1:12" x14ac:dyDescent="0.3">
      <c r="A710" t="s">
        <v>767</v>
      </c>
      <c r="B710" s="2">
        <v>45863</v>
      </c>
      <c r="C710" t="s">
        <v>76</v>
      </c>
      <c r="D710" t="s">
        <v>86</v>
      </c>
      <c r="E710" t="s">
        <v>30</v>
      </c>
      <c r="F710" t="s">
        <v>21</v>
      </c>
      <c r="G710" t="s">
        <v>65</v>
      </c>
      <c r="H710">
        <v>13</v>
      </c>
      <c r="I710">
        <v>22000</v>
      </c>
      <c r="J710">
        <f t="shared" si="22"/>
        <v>286000</v>
      </c>
      <c r="K710">
        <f>J710*0.78</f>
        <v>223080</v>
      </c>
      <c r="L710">
        <f t="shared" si="23"/>
        <v>62920</v>
      </c>
    </row>
    <row r="711" spans="1:12" x14ac:dyDescent="0.3">
      <c r="A711" t="s">
        <v>768</v>
      </c>
      <c r="B711" s="2">
        <v>45853</v>
      </c>
      <c r="C711" t="s">
        <v>76</v>
      </c>
      <c r="D711" t="s">
        <v>83</v>
      </c>
      <c r="E711" t="s">
        <v>20</v>
      </c>
      <c r="F711" t="s">
        <v>21</v>
      </c>
      <c r="G711" t="s">
        <v>22</v>
      </c>
      <c r="H711">
        <v>11</v>
      </c>
      <c r="I711">
        <v>15000</v>
      </c>
      <c r="J711">
        <f t="shared" si="22"/>
        <v>165000</v>
      </c>
      <c r="K711">
        <f>J711*0.81</f>
        <v>133650</v>
      </c>
      <c r="L711">
        <f t="shared" si="23"/>
        <v>31350</v>
      </c>
    </row>
    <row r="712" spans="1:12" x14ac:dyDescent="0.3">
      <c r="A712" t="s">
        <v>769</v>
      </c>
      <c r="B712" s="2">
        <v>45958</v>
      </c>
      <c r="C712" t="s">
        <v>38</v>
      </c>
      <c r="D712" t="s">
        <v>19</v>
      </c>
      <c r="E712" t="s">
        <v>30</v>
      </c>
      <c r="F712" t="s">
        <v>21</v>
      </c>
      <c r="G712" t="s">
        <v>74</v>
      </c>
      <c r="H712">
        <v>14</v>
      </c>
      <c r="I712">
        <v>12000</v>
      </c>
      <c r="J712">
        <f t="shared" si="22"/>
        <v>168000</v>
      </c>
      <c r="K712">
        <f>J712*0.72</f>
        <v>120960</v>
      </c>
      <c r="L712">
        <f t="shared" si="23"/>
        <v>47040</v>
      </c>
    </row>
    <row r="713" spans="1:12" x14ac:dyDescent="0.3">
      <c r="A713" t="s">
        <v>770</v>
      </c>
      <c r="B713" s="2">
        <v>45765</v>
      </c>
      <c r="C713" t="s">
        <v>59</v>
      </c>
      <c r="D713" t="s">
        <v>33</v>
      </c>
      <c r="E713" t="s">
        <v>46</v>
      </c>
      <c r="F713" t="s">
        <v>21</v>
      </c>
      <c r="G713" t="s">
        <v>74</v>
      </c>
      <c r="H713">
        <v>10</v>
      </c>
      <c r="I713">
        <v>12000</v>
      </c>
      <c r="J713">
        <f t="shared" si="22"/>
        <v>120000</v>
      </c>
      <c r="K713">
        <f>J713*0.81</f>
        <v>97200</v>
      </c>
      <c r="L713">
        <f t="shared" si="23"/>
        <v>22800</v>
      </c>
    </row>
    <row r="714" spans="1:12" x14ac:dyDescent="0.3">
      <c r="A714" t="s">
        <v>771</v>
      </c>
      <c r="B714" s="2">
        <v>45698</v>
      </c>
      <c r="C714" t="s">
        <v>50</v>
      </c>
      <c r="D714" t="s">
        <v>39</v>
      </c>
      <c r="E714" t="s">
        <v>30</v>
      </c>
      <c r="F714" t="s">
        <v>21</v>
      </c>
      <c r="G714" t="s">
        <v>22</v>
      </c>
      <c r="H714">
        <v>14</v>
      </c>
      <c r="I714">
        <v>15000</v>
      </c>
      <c r="J714">
        <f t="shared" si="22"/>
        <v>210000</v>
      </c>
      <c r="K714">
        <f>J714*0.82</f>
        <v>172200</v>
      </c>
      <c r="L714">
        <f t="shared" si="23"/>
        <v>37800</v>
      </c>
    </row>
    <row r="715" spans="1:12" x14ac:dyDescent="0.3">
      <c r="A715" t="s">
        <v>772</v>
      </c>
      <c r="B715" s="2">
        <v>46016</v>
      </c>
      <c r="C715" t="s">
        <v>24</v>
      </c>
      <c r="D715" t="s">
        <v>14</v>
      </c>
      <c r="E715" t="s">
        <v>15</v>
      </c>
      <c r="F715" t="s">
        <v>26</v>
      </c>
      <c r="G715" t="s">
        <v>111</v>
      </c>
      <c r="H715">
        <v>13</v>
      </c>
      <c r="I715">
        <v>85000</v>
      </c>
      <c r="J715">
        <f t="shared" si="22"/>
        <v>1105000</v>
      </c>
      <c r="K715">
        <f>J715*0.85</f>
        <v>939250</v>
      </c>
      <c r="L715">
        <f t="shared" si="23"/>
        <v>165750</v>
      </c>
    </row>
    <row r="716" spans="1:12" x14ac:dyDescent="0.3">
      <c r="A716" t="s">
        <v>773</v>
      </c>
      <c r="B716" s="2">
        <v>45913</v>
      </c>
      <c r="C716" t="s">
        <v>13</v>
      </c>
      <c r="D716" t="s">
        <v>83</v>
      </c>
      <c r="E716" t="s">
        <v>46</v>
      </c>
      <c r="F716" t="s">
        <v>21</v>
      </c>
      <c r="G716" t="s">
        <v>22</v>
      </c>
      <c r="H716">
        <v>12</v>
      </c>
      <c r="I716">
        <v>15000</v>
      </c>
      <c r="J716">
        <f t="shared" si="22"/>
        <v>180000</v>
      </c>
      <c r="K716">
        <f>J716*0.82</f>
        <v>147600</v>
      </c>
      <c r="L716">
        <f t="shared" si="23"/>
        <v>32400</v>
      </c>
    </row>
    <row r="717" spans="1:12" x14ac:dyDescent="0.3">
      <c r="A717" t="s">
        <v>774</v>
      </c>
      <c r="B717" s="2">
        <v>45760</v>
      </c>
      <c r="C717" t="s">
        <v>59</v>
      </c>
      <c r="D717" t="s">
        <v>14</v>
      </c>
      <c r="E717" t="s">
        <v>46</v>
      </c>
      <c r="F717" t="s">
        <v>26</v>
      </c>
      <c r="G717" t="s">
        <v>27</v>
      </c>
      <c r="H717">
        <v>11</v>
      </c>
      <c r="I717">
        <v>45000</v>
      </c>
      <c r="J717">
        <f t="shared" si="22"/>
        <v>495000</v>
      </c>
      <c r="K717">
        <f>J717*0.84</f>
        <v>415800</v>
      </c>
      <c r="L717">
        <f t="shared" si="23"/>
        <v>79200</v>
      </c>
    </row>
    <row r="718" spans="1:12" x14ac:dyDescent="0.3">
      <c r="A718" t="s">
        <v>775</v>
      </c>
      <c r="B718" s="2">
        <v>45755</v>
      </c>
      <c r="C718" t="s">
        <v>59</v>
      </c>
      <c r="D718" t="s">
        <v>33</v>
      </c>
      <c r="E718" t="s">
        <v>30</v>
      </c>
      <c r="F718" t="s">
        <v>26</v>
      </c>
      <c r="G718" t="s">
        <v>94</v>
      </c>
      <c r="H718">
        <v>12</v>
      </c>
      <c r="I718">
        <v>28000</v>
      </c>
      <c r="J718">
        <f t="shared" si="22"/>
        <v>336000</v>
      </c>
      <c r="K718">
        <f>J718*0.8</f>
        <v>268800</v>
      </c>
      <c r="L718">
        <f t="shared" si="23"/>
        <v>67200</v>
      </c>
    </row>
    <row r="719" spans="1:12" x14ac:dyDescent="0.3">
      <c r="A719" t="s">
        <v>776</v>
      </c>
      <c r="B719" s="2">
        <v>45908</v>
      </c>
      <c r="C719" t="s">
        <v>13</v>
      </c>
      <c r="D719" t="s">
        <v>86</v>
      </c>
      <c r="E719" t="s">
        <v>20</v>
      </c>
      <c r="F719" t="s">
        <v>26</v>
      </c>
      <c r="G719" t="s">
        <v>111</v>
      </c>
      <c r="H719">
        <v>8</v>
      </c>
      <c r="I719">
        <v>85000</v>
      </c>
      <c r="J719">
        <f t="shared" si="22"/>
        <v>680000</v>
      </c>
      <c r="K719">
        <f>J719*0.85</f>
        <v>578000</v>
      </c>
      <c r="L719">
        <f t="shared" si="23"/>
        <v>102000</v>
      </c>
    </row>
    <row r="720" spans="1:12" x14ac:dyDescent="0.3">
      <c r="A720" t="s">
        <v>777</v>
      </c>
      <c r="B720" s="2">
        <v>45899</v>
      </c>
      <c r="C720" t="s">
        <v>57</v>
      </c>
      <c r="D720" t="s">
        <v>25</v>
      </c>
      <c r="E720" t="s">
        <v>15</v>
      </c>
      <c r="F720" t="s">
        <v>26</v>
      </c>
      <c r="G720" t="s">
        <v>52</v>
      </c>
      <c r="H720">
        <v>12</v>
      </c>
      <c r="I720">
        <v>35000</v>
      </c>
      <c r="J720">
        <f t="shared" si="22"/>
        <v>420000</v>
      </c>
      <c r="K720">
        <f>J720*0.73</f>
        <v>306600</v>
      </c>
      <c r="L720">
        <f t="shared" si="23"/>
        <v>113400</v>
      </c>
    </row>
    <row r="721" spans="1:12" x14ac:dyDescent="0.3">
      <c r="A721" t="s">
        <v>778</v>
      </c>
      <c r="B721" s="2">
        <v>45714</v>
      </c>
      <c r="C721" t="s">
        <v>50</v>
      </c>
      <c r="D721" t="s">
        <v>51</v>
      </c>
      <c r="E721" t="s">
        <v>30</v>
      </c>
      <c r="F721" t="s">
        <v>26</v>
      </c>
      <c r="G721" t="s">
        <v>69</v>
      </c>
      <c r="H721">
        <v>14</v>
      </c>
      <c r="I721">
        <v>2500</v>
      </c>
      <c r="J721">
        <f t="shared" si="22"/>
        <v>35000</v>
      </c>
      <c r="K721">
        <f>J721*0.71</f>
        <v>24850</v>
      </c>
      <c r="L721">
        <f t="shared" si="23"/>
        <v>10150</v>
      </c>
    </row>
    <row r="722" spans="1:12" x14ac:dyDescent="0.3">
      <c r="A722" t="s">
        <v>779</v>
      </c>
      <c r="B722" s="2">
        <v>45931</v>
      </c>
      <c r="C722" t="s">
        <v>38</v>
      </c>
      <c r="D722" t="s">
        <v>83</v>
      </c>
      <c r="E722" t="s">
        <v>15</v>
      </c>
      <c r="F722" t="s">
        <v>16</v>
      </c>
      <c r="G722" t="s">
        <v>78</v>
      </c>
      <c r="H722">
        <v>15</v>
      </c>
      <c r="I722">
        <v>800</v>
      </c>
      <c r="J722">
        <f t="shared" si="22"/>
        <v>12000</v>
      </c>
      <c r="K722">
        <f>J722*0.84</f>
        <v>10080</v>
      </c>
      <c r="L722">
        <f t="shared" si="23"/>
        <v>1920</v>
      </c>
    </row>
    <row r="723" spans="1:12" x14ac:dyDescent="0.3">
      <c r="A723" t="s">
        <v>780</v>
      </c>
      <c r="B723" s="2">
        <v>45998</v>
      </c>
      <c r="C723" t="s">
        <v>24</v>
      </c>
      <c r="D723" t="s">
        <v>25</v>
      </c>
      <c r="E723" t="s">
        <v>30</v>
      </c>
      <c r="F723" t="s">
        <v>16</v>
      </c>
      <c r="G723" t="s">
        <v>60</v>
      </c>
      <c r="H723">
        <v>5</v>
      </c>
      <c r="I723">
        <v>250</v>
      </c>
      <c r="J723">
        <f t="shared" si="22"/>
        <v>1250</v>
      </c>
      <c r="K723">
        <f>J723*0.73</f>
        <v>912.5</v>
      </c>
      <c r="L723">
        <f t="shared" si="23"/>
        <v>337.5</v>
      </c>
    </row>
    <row r="724" spans="1:12" x14ac:dyDescent="0.3">
      <c r="A724" t="s">
        <v>781</v>
      </c>
      <c r="B724" s="2">
        <v>45711</v>
      </c>
      <c r="C724" t="s">
        <v>50</v>
      </c>
      <c r="D724" t="s">
        <v>33</v>
      </c>
      <c r="E724" t="s">
        <v>46</v>
      </c>
      <c r="F724" t="s">
        <v>26</v>
      </c>
      <c r="G724" t="s">
        <v>44</v>
      </c>
      <c r="H724">
        <v>10</v>
      </c>
      <c r="I724">
        <v>25000</v>
      </c>
      <c r="J724">
        <f t="shared" si="22"/>
        <v>250000</v>
      </c>
      <c r="K724">
        <f>J724*0.72</f>
        <v>180000</v>
      </c>
      <c r="L724">
        <f t="shared" si="23"/>
        <v>70000</v>
      </c>
    </row>
    <row r="725" spans="1:12" x14ac:dyDescent="0.3">
      <c r="A725" t="s">
        <v>782</v>
      </c>
      <c r="B725" s="2">
        <v>45932</v>
      </c>
      <c r="C725" t="s">
        <v>38</v>
      </c>
      <c r="D725" t="s">
        <v>39</v>
      </c>
      <c r="E725" t="s">
        <v>46</v>
      </c>
      <c r="F725" t="s">
        <v>26</v>
      </c>
      <c r="G725" t="s">
        <v>27</v>
      </c>
      <c r="H725">
        <v>16</v>
      </c>
      <c r="I725">
        <v>45000</v>
      </c>
      <c r="J725">
        <f t="shared" si="22"/>
        <v>720000</v>
      </c>
      <c r="K725">
        <f>J725*0.78</f>
        <v>561600</v>
      </c>
      <c r="L725">
        <f t="shared" si="23"/>
        <v>158400</v>
      </c>
    </row>
    <row r="726" spans="1:12" x14ac:dyDescent="0.3">
      <c r="A726" t="s">
        <v>783</v>
      </c>
      <c r="B726" s="2">
        <v>45850</v>
      </c>
      <c r="C726" t="s">
        <v>76</v>
      </c>
      <c r="D726" t="s">
        <v>19</v>
      </c>
      <c r="E726" t="s">
        <v>46</v>
      </c>
      <c r="F726" t="s">
        <v>26</v>
      </c>
      <c r="G726" t="s">
        <v>127</v>
      </c>
      <c r="H726">
        <v>12</v>
      </c>
      <c r="I726">
        <v>1500</v>
      </c>
      <c r="J726">
        <f t="shared" si="22"/>
        <v>18000</v>
      </c>
      <c r="K726">
        <f>J726*0.71</f>
        <v>12780</v>
      </c>
      <c r="L726">
        <f t="shared" si="23"/>
        <v>5220</v>
      </c>
    </row>
    <row r="727" spans="1:12" x14ac:dyDescent="0.3">
      <c r="A727" t="s">
        <v>784</v>
      </c>
      <c r="B727" s="2">
        <v>45837</v>
      </c>
      <c r="C727" t="s">
        <v>43</v>
      </c>
      <c r="D727" t="s">
        <v>86</v>
      </c>
      <c r="E727" t="s">
        <v>46</v>
      </c>
      <c r="F727" t="s">
        <v>26</v>
      </c>
      <c r="G727" t="s">
        <v>111</v>
      </c>
      <c r="H727">
        <v>20</v>
      </c>
      <c r="I727">
        <v>85000</v>
      </c>
      <c r="J727">
        <f t="shared" si="22"/>
        <v>1700000</v>
      </c>
      <c r="K727">
        <f>J727*0.8</f>
        <v>1360000</v>
      </c>
      <c r="L727">
        <f t="shared" si="23"/>
        <v>340000</v>
      </c>
    </row>
    <row r="728" spans="1:12" x14ac:dyDescent="0.3">
      <c r="A728" t="s">
        <v>785</v>
      </c>
      <c r="B728" s="2">
        <v>45741</v>
      </c>
      <c r="C728" t="s">
        <v>63</v>
      </c>
      <c r="D728" t="s">
        <v>14</v>
      </c>
      <c r="E728" t="s">
        <v>30</v>
      </c>
      <c r="F728" t="s">
        <v>21</v>
      </c>
      <c r="G728" t="s">
        <v>65</v>
      </c>
      <c r="H728">
        <v>19</v>
      </c>
      <c r="I728">
        <v>22000</v>
      </c>
      <c r="J728">
        <f t="shared" si="22"/>
        <v>418000</v>
      </c>
      <c r="K728">
        <f>J728*0.71</f>
        <v>296780</v>
      </c>
      <c r="L728">
        <f t="shared" si="23"/>
        <v>121220</v>
      </c>
    </row>
    <row r="729" spans="1:12" x14ac:dyDescent="0.3">
      <c r="A729" t="s">
        <v>786</v>
      </c>
      <c r="B729" s="2">
        <v>45979</v>
      </c>
      <c r="C729" t="s">
        <v>32</v>
      </c>
      <c r="D729" t="s">
        <v>14</v>
      </c>
      <c r="E729" t="s">
        <v>20</v>
      </c>
      <c r="F729" t="s">
        <v>21</v>
      </c>
      <c r="G729" t="s">
        <v>40</v>
      </c>
      <c r="H729">
        <v>11</v>
      </c>
      <c r="I729">
        <v>5000</v>
      </c>
      <c r="J729">
        <f t="shared" si="22"/>
        <v>55000</v>
      </c>
      <c r="K729">
        <f>J729*0.82</f>
        <v>45100</v>
      </c>
      <c r="L729">
        <f t="shared" si="23"/>
        <v>9900</v>
      </c>
    </row>
    <row r="730" spans="1:12" x14ac:dyDescent="0.3">
      <c r="A730" t="s">
        <v>787</v>
      </c>
      <c r="B730" s="2">
        <v>45704</v>
      </c>
      <c r="C730" t="s">
        <v>50</v>
      </c>
      <c r="D730" t="s">
        <v>83</v>
      </c>
      <c r="E730" t="s">
        <v>20</v>
      </c>
      <c r="F730" t="s">
        <v>26</v>
      </c>
      <c r="G730" t="s">
        <v>127</v>
      </c>
      <c r="H730">
        <v>3</v>
      </c>
      <c r="I730">
        <v>1500</v>
      </c>
      <c r="J730">
        <f t="shared" si="22"/>
        <v>4500</v>
      </c>
      <c r="K730">
        <f>J730*0.82</f>
        <v>3690</v>
      </c>
      <c r="L730">
        <f t="shared" si="23"/>
        <v>810</v>
      </c>
    </row>
    <row r="731" spans="1:12" x14ac:dyDescent="0.3">
      <c r="A731" t="s">
        <v>788</v>
      </c>
      <c r="B731" s="2">
        <v>45859</v>
      </c>
      <c r="C731" t="s">
        <v>76</v>
      </c>
      <c r="D731" t="s">
        <v>51</v>
      </c>
      <c r="E731" t="s">
        <v>30</v>
      </c>
      <c r="F731" t="s">
        <v>26</v>
      </c>
      <c r="G731" t="s">
        <v>27</v>
      </c>
      <c r="H731">
        <v>13</v>
      </c>
      <c r="I731">
        <v>45000</v>
      </c>
      <c r="J731">
        <f t="shared" si="22"/>
        <v>585000</v>
      </c>
      <c r="K731">
        <f>J731*0.83</f>
        <v>485550</v>
      </c>
      <c r="L731">
        <f t="shared" si="23"/>
        <v>99450</v>
      </c>
    </row>
    <row r="732" spans="1:12" x14ac:dyDescent="0.3">
      <c r="A732" t="s">
        <v>789</v>
      </c>
      <c r="B732" s="2">
        <v>45975</v>
      </c>
      <c r="C732" t="s">
        <v>32</v>
      </c>
      <c r="D732" t="s">
        <v>64</v>
      </c>
      <c r="E732" t="s">
        <v>35</v>
      </c>
      <c r="F732" t="s">
        <v>26</v>
      </c>
      <c r="G732" t="s">
        <v>69</v>
      </c>
      <c r="H732">
        <v>15</v>
      </c>
      <c r="I732">
        <v>2500</v>
      </c>
      <c r="J732">
        <f t="shared" si="22"/>
        <v>37500</v>
      </c>
      <c r="K732">
        <f>J732*0.72</f>
        <v>27000</v>
      </c>
      <c r="L732">
        <f t="shared" si="23"/>
        <v>10500</v>
      </c>
    </row>
    <row r="733" spans="1:12" x14ac:dyDescent="0.3">
      <c r="A733" t="s">
        <v>790</v>
      </c>
      <c r="B733" s="2">
        <v>45819</v>
      </c>
      <c r="C733" t="s">
        <v>43</v>
      </c>
      <c r="D733" t="s">
        <v>64</v>
      </c>
      <c r="E733" t="s">
        <v>46</v>
      </c>
      <c r="F733" t="s">
        <v>16</v>
      </c>
      <c r="G733" t="s">
        <v>60</v>
      </c>
      <c r="H733">
        <v>5</v>
      </c>
      <c r="I733">
        <v>250</v>
      </c>
      <c r="J733">
        <f t="shared" si="22"/>
        <v>1250</v>
      </c>
      <c r="K733">
        <f>J733*0.82</f>
        <v>1025</v>
      </c>
      <c r="L733">
        <f t="shared" si="23"/>
        <v>225</v>
      </c>
    </row>
    <row r="734" spans="1:12" x14ac:dyDescent="0.3">
      <c r="A734" t="s">
        <v>791</v>
      </c>
      <c r="B734" s="2">
        <v>45761</v>
      </c>
      <c r="C734" t="s">
        <v>59</v>
      </c>
      <c r="D734" t="s">
        <v>83</v>
      </c>
      <c r="E734" t="s">
        <v>20</v>
      </c>
      <c r="F734" t="s">
        <v>26</v>
      </c>
      <c r="G734" t="s">
        <v>127</v>
      </c>
      <c r="H734">
        <v>9</v>
      </c>
      <c r="I734">
        <v>1500</v>
      </c>
      <c r="J734">
        <f t="shared" si="22"/>
        <v>13500</v>
      </c>
      <c r="K734">
        <f>J734*0.77</f>
        <v>10395</v>
      </c>
      <c r="L734">
        <f t="shared" si="23"/>
        <v>3105</v>
      </c>
    </row>
    <row r="735" spans="1:12" x14ac:dyDescent="0.3">
      <c r="A735" t="s">
        <v>792</v>
      </c>
      <c r="B735" s="2">
        <v>45712</v>
      </c>
      <c r="C735" t="s">
        <v>50</v>
      </c>
      <c r="D735" t="s">
        <v>64</v>
      </c>
      <c r="E735" t="s">
        <v>35</v>
      </c>
      <c r="F735" t="s">
        <v>26</v>
      </c>
      <c r="G735" t="s">
        <v>52</v>
      </c>
      <c r="H735">
        <v>18</v>
      </c>
      <c r="I735">
        <v>35000</v>
      </c>
      <c r="J735">
        <f t="shared" si="22"/>
        <v>630000</v>
      </c>
      <c r="K735">
        <f>J735*0.84</f>
        <v>529200</v>
      </c>
      <c r="L735">
        <f t="shared" si="23"/>
        <v>100800</v>
      </c>
    </row>
    <row r="736" spans="1:12" x14ac:dyDescent="0.3">
      <c r="A736" t="s">
        <v>793</v>
      </c>
      <c r="B736" s="2">
        <v>45748</v>
      </c>
      <c r="C736" t="s">
        <v>59</v>
      </c>
      <c r="D736" t="s">
        <v>39</v>
      </c>
      <c r="E736" t="s">
        <v>30</v>
      </c>
      <c r="F736" t="s">
        <v>26</v>
      </c>
      <c r="G736" t="s">
        <v>127</v>
      </c>
      <c r="H736">
        <v>16</v>
      </c>
      <c r="I736">
        <v>1500</v>
      </c>
      <c r="J736">
        <f t="shared" si="22"/>
        <v>24000</v>
      </c>
      <c r="K736">
        <f>J736*0.79</f>
        <v>18960</v>
      </c>
      <c r="L736">
        <f t="shared" si="23"/>
        <v>5040</v>
      </c>
    </row>
    <row r="737" spans="1:12" x14ac:dyDescent="0.3">
      <c r="A737" t="s">
        <v>794</v>
      </c>
      <c r="B737" s="2">
        <v>46002</v>
      </c>
      <c r="C737" t="s">
        <v>24</v>
      </c>
      <c r="D737" t="s">
        <v>64</v>
      </c>
      <c r="E737" t="s">
        <v>46</v>
      </c>
      <c r="F737" t="s">
        <v>21</v>
      </c>
      <c r="G737" t="s">
        <v>74</v>
      </c>
      <c r="H737">
        <v>5</v>
      </c>
      <c r="I737">
        <v>12000</v>
      </c>
      <c r="J737">
        <f t="shared" si="22"/>
        <v>60000</v>
      </c>
      <c r="K737">
        <f>J737*0.75</f>
        <v>45000</v>
      </c>
      <c r="L737">
        <f t="shared" si="23"/>
        <v>15000</v>
      </c>
    </row>
    <row r="738" spans="1:12" x14ac:dyDescent="0.3">
      <c r="A738" t="s">
        <v>795</v>
      </c>
      <c r="B738" s="2">
        <v>45834</v>
      </c>
      <c r="C738" t="s">
        <v>43</v>
      </c>
      <c r="D738" t="s">
        <v>64</v>
      </c>
      <c r="E738" t="s">
        <v>20</v>
      </c>
      <c r="F738" t="s">
        <v>21</v>
      </c>
      <c r="G738" t="s">
        <v>54</v>
      </c>
      <c r="H738">
        <v>17</v>
      </c>
      <c r="I738">
        <v>18000</v>
      </c>
      <c r="J738">
        <f t="shared" si="22"/>
        <v>306000</v>
      </c>
      <c r="K738">
        <f>J738*0.75</f>
        <v>229500</v>
      </c>
      <c r="L738">
        <f t="shared" si="23"/>
        <v>76500</v>
      </c>
    </row>
    <row r="739" spans="1:12" x14ac:dyDescent="0.3">
      <c r="A739" t="s">
        <v>796</v>
      </c>
      <c r="B739" s="2">
        <v>45939</v>
      </c>
      <c r="C739" t="s">
        <v>38</v>
      </c>
      <c r="D739" t="s">
        <v>39</v>
      </c>
      <c r="E739" t="s">
        <v>20</v>
      </c>
      <c r="F739" t="s">
        <v>21</v>
      </c>
      <c r="G739" t="s">
        <v>22</v>
      </c>
      <c r="H739">
        <v>5</v>
      </c>
      <c r="I739">
        <v>15000</v>
      </c>
      <c r="J739">
        <f t="shared" si="22"/>
        <v>75000</v>
      </c>
      <c r="K739">
        <f>J739*0.7</f>
        <v>52500</v>
      </c>
      <c r="L739">
        <f t="shared" si="23"/>
        <v>22500</v>
      </c>
    </row>
    <row r="740" spans="1:12" x14ac:dyDescent="0.3">
      <c r="A740" t="s">
        <v>797</v>
      </c>
      <c r="B740" s="2">
        <v>45795</v>
      </c>
      <c r="C740" t="s">
        <v>48</v>
      </c>
      <c r="D740" t="s">
        <v>14</v>
      </c>
      <c r="E740" t="s">
        <v>30</v>
      </c>
      <c r="F740" t="s">
        <v>16</v>
      </c>
      <c r="G740" t="s">
        <v>78</v>
      </c>
      <c r="H740">
        <v>5</v>
      </c>
      <c r="I740">
        <v>800</v>
      </c>
      <c r="J740">
        <f t="shared" si="22"/>
        <v>4000</v>
      </c>
      <c r="K740">
        <f>J740*0.71</f>
        <v>2840</v>
      </c>
      <c r="L740">
        <f t="shared" si="23"/>
        <v>1160</v>
      </c>
    </row>
    <row r="741" spans="1:12" x14ac:dyDescent="0.3">
      <c r="A741" t="s">
        <v>798</v>
      </c>
      <c r="B741" s="2">
        <v>45842</v>
      </c>
      <c r="C741" t="s">
        <v>76</v>
      </c>
      <c r="D741" t="s">
        <v>14</v>
      </c>
      <c r="E741" t="s">
        <v>30</v>
      </c>
      <c r="F741" t="s">
        <v>16</v>
      </c>
      <c r="G741" t="s">
        <v>36</v>
      </c>
      <c r="H741">
        <v>5</v>
      </c>
      <c r="I741">
        <v>150</v>
      </c>
      <c r="J741">
        <f t="shared" si="22"/>
        <v>750</v>
      </c>
      <c r="K741">
        <f>J741*0.76</f>
        <v>570</v>
      </c>
      <c r="L741">
        <f t="shared" si="23"/>
        <v>180</v>
      </c>
    </row>
    <row r="742" spans="1:12" x14ac:dyDescent="0.3">
      <c r="A742" t="s">
        <v>799</v>
      </c>
      <c r="B742" s="2">
        <v>45676</v>
      </c>
      <c r="C742" t="s">
        <v>29</v>
      </c>
      <c r="D742" t="s">
        <v>72</v>
      </c>
      <c r="E742" t="s">
        <v>20</v>
      </c>
      <c r="F742" t="s">
        <v>26</v>
      </c>
      <c r="G742" t="s">
        <v>94</v>
      </c>
      <c r="H742">
        <v>3</v>
      </c>
      <c r="I742">
        <v>28000</v>
      </c>
      <c r="J742">
        <f t="shared" si="22"/>
        <v>84000</v>
      </c>
      <c r="K742">
        <f>J742*0.84</f>
        <v>70560</v>
      </c>
      <c r="L742">
        <f t="shared" si="23"/>
        <v>13440</v>
      </c>
    </row>
    <row r="743" spans="1:12" x14ac:dyDescent="0.3">
      <c r="A743" t="s">
        <v>800</v>
      </c>
      <c r="B743" s="2">
        <v>45942</v>
      </c>
      <c r="C743" t="s">
        <v>38</v>
      </c>
      <c r="D743" t="s">
        <v>72</v>
      </c>
      <c r="E743" t="s">
        <v>46</v>
      </c>
      <c r="F743" t="s">
        <v>16</v>
      </c>
      <c r="G743" t="s">
        <v>60</v>
      </c>
      <c r="H743">
        <v>7</v>
      </c>
      <c r="I743">
        <v>250</v>
      </c>
      <c r="J743">
        <f t="shared" si="22"/>
        <v>1750</v>
      </c>
      <c r="K743">
        <f>J743*0.77</f>
        <v>1347.5</v>
      </c>
      <c r="L743">
        <f t="shared" si="23"/>
        <v>402.5</v>
      </c>
    </row>
    <row r="744" spans="1:12" x14ac:dyDescent="0.3">
      <c r="A744" t="s">
        <v>801</v>
      </c>
      <c r="B744" s="2">
        <v>45972</v>
      </c>
      <c r="C744" t="s">
        <v>32</v>
      </c>
      <c r="D744" t="s">
        <v>19</v>
      </c>
      <c r="E744" t="s">
        <v>15</v>
      </c>
      <c r="F744" t="s">
        <v>21</v>
      </c>
      <c r="G744" t="s">
        <v>74</v>
      </c>
      <c r="H744">
        <v>3</v>
      </c>
      <c r="I744">
        <v>12000</v>
      </c>
      <c r="J744">
        <f t="shared" si="22"/>
        <v>36000</v>
      </c>
      <c r="K744">
        <f>J744*0.79</f>
        <v>28440</v>
      </c>
      <c r="L744">
        <f t="shared" si="23"/>
        <v>7560</v>
      </c>
    </row>
    <row r="745" spans="1:12" x14ac:dyDescent="0.3">
      <c r="A745" t="s">
        <v>802</v>
      </c>
      <c r="B745" s="2">
        <v>45899</v>
      </c>
      <c r="C745" t="s">
        <v>57</v>
      </c>
      <c r="D745" t="s">
        <v>19</v>
      </c>
      <c r="E745" t="s">
        <v>20</v>
      </c>
      <c r="F745" t="s">
        <v>16</v>
      </c>
      <c r="G745" t="s">
        <v>60</v>
      </c>
      <c r="H745">
        <v>20</v>
      </c>
      <c r="I745">
        <v>250</v>
      </c>
      <c r="J745">
        <f t="shared" si="22"/>
        <v>5000</v>
      </c>
      <c r="K745">
        <f>J745*0.8</f>
        <v>4000</v>
      </c>
      <c r="L745">
        <f t="shared" si="23"/>
        <v>1000</v>
      </c>
    </row>
    <row r="746" spans="1:12" x14ac:dyDescent="0.3">
      <c r="A746" t="s">
        <v>803</v>
      </c>
      <c r="B746" s="2">
        <v>45978</v>
      </c>
      <c r="C746" t="s">
        <v>32</v>
      </c>
      <c r="D746" t="s">
        <v>83</v>
      </c>
      <c r="E746" t="s">
        <v>20</v>
      </c>
      <c r="F746" t="s">
        <v>21</v>
      </c>
      <c r="G746" t="s">
        <v>65</v>
      </c>
      <c r="H746">
        <v>17</v>
      </c>
      <c r="I746">
        <v>22000</v>
      </c>
      <c r="J746">
        <f t="shared" si="22"/>
        <v>374000</v>
      </c>
      <c r="K746">
        <f>J746*0.7</f>
        <v>261799.99999999997</v>
      </c>
      <c r="L746">
        <f t="shared" si="23"/>
        <v>112200.00000000003</v>
      </c>
    </row>
    <row r="747" spans="1:12" x14ac:dyDescent="0.3">
      <c r="A747" t="s">
        <v>804</v>
      </c>
      <c r="B747" s="2">
        <v>45809</v>
      </c>
      <c r="C747" t="s">
        <v>43</v>
      </c>
      <c r="D747" t="s">
        <v>83</v>
      </c>
      <c r="E747" t="s">
        <v>20</v>
      </c>
      <c r="F747" t="s">
        <v>26</v>
      </c>
      <c r="G747" t="s">
        <v>27</v>
      </c>
      <c r="H747">
        <v>20</v>
      </c>
      <c r="I747">
        <v>45000</v>
      </c>
      <c r="J747">
        <f t="shared" si="22"/>
        <v>900000</v>
      </c>
      <c r="K747">
        <f>J747*0.8</f>
        <v>720000</v>
      </c>
      <c r="L747">
        <f t="shared" si="23"/>
        <v>180000</v>
      </c>
    </row>
    <row r="748" spans="1:12" x14ac:dyDescent="0.3">
      <c r="A748" t="s">
        <v>805</v>
      </c>
      <c r="B748" s="2">
        <v>45896</v>
      </c>
      <c r="C748" t="s">
        <v>57</v>
      </c>
      <c r="D748" t="s">
        <v>86</v>
      </c>
      <c r="E748" t="s">
        <v>46</v>
      </c>
      <c r="F748" t="s">
        <v>21</v>
      </c>
      <c r="G748" t="s">
        <v>40</v>
      </c>
      <c r="H748">
        <v>11</v>
      </c>
      <c r="I748">
        <v>5000</v>
      </c>
      <c r="J748">
        <f t="shared" si="22"/>
        <v>55000</v>
      </c>
      <c r="K748">
        <f>J748*0.84</f>
        <v>46200</v>
      </c>
      <c r="L748">
        <f t="shared" si="23"/>
        <v>8800</v>
      </c>
    </row>
    <row r="749" spans="1:12" x14ac:dyDescent="0.3">
      <c r="A749" t="s">
        <v>806</v>
      </c>
      <c r="B749" s="2">
        <v>45791</v>
      </c>
      <c r="C749" t="s">
        <v>48</v>
      </c>
      <c r="D749" t="s">
        <v>51</v>
      </c>
      <c r="E749" t="s">
        <v>35</v>
      </c>
      <c r="F749" t="s">
        <v>21</v>
      </c>
      <c r="G749" t="s">
        <v>65</v>
      </c>
      <c r="H749">
        <v>6</v>
      </c>
      <c r="I749">
        <v>22000</v>
      </c>
      <c r="J749">
        <f t="shared" si="22"/>
        <v>132000</v>
      </c>
      <c r="K749">
        <f>J749*0.82</f>
        <v>108240</v>
      </c>
      <c r="L749">
        <f t="shared" si="23"/>
        <v>23760</v>
      </c>
    </row>
    <row r="750" spans="1:12" x14ac:dyDescent="0.3">
      <c r="A750" t="s">
        <v>807</v>
      </c>
      <c r="B750" s="2">
        <v>45694</v>
      </c>
      <c r="C750" t="s">
        <v>50</v>
      </c>
      <c r="D750" t="s">
        <v>39</v>
      </c>
      <c r="E750" t="s">
        <v>20</v>
      </c>
      <c r="F750" t="s">
        <v>26</v>
      </c>
      <c r="G750" t="s">
        <v>111</v>
      </c>
      <c r="H750">
        <v>1</v>
      </c>
      <c r="I750">
        <v>85000</v>
      </c>
      <c r="J750">
        <f t="shared" si="22"/>
        <v>85000</v>
      </c>
      <c r="K750">
        <f>J750*0.7</f>
        <v>59499.999999999993</v>
      </c>
      <c r="L750">
        <f t="shared" si="23"/>
        <v>25500.000000000007</v>
      </c>
    </row>
    <row r="751" spans="1:12" x14ac:dyDescent="0.3">
      <c r="A751" t="s">
        <v>808</v>
      </c>
      <c r="B751" s="2">
        <v>45765</v>
      </c>
      <c r="C751" t="s">
        <v>59</v>
      </c>
      <c r="D751" t="s">
        <v>25</v>
      </c>
      <c r="E751" t="s">
        <v>46</v>
      </c>
      <c r="F751" t="s">
        <v>26</v>
      </c>
      <c r="G751" t="s">
        <v>52</v>
      </c>
      <c r="H751">
        <v>18</v>
      </c>
      <c r="I751">
        <v>35000</v>
      </c>
      <c r="J751">
        <f t="shared" si="22"/>
        <v>630000</v>
      </c>
      <c r="K751">
        <f>J751*0.7</f>
        <v>441000</v>
      </c>
      <c r="L751">
        <f t="shared" si="23"/>
        <v>189000</v>
      </c>
    </row>
    <row r="752" spans="1:12" x14ac:dyDescent="0.3">
      <c r="A752" t="s">
        <v>809</v>
      </c>
      <c r="B752" s="2">
        <v>45973</v>
      </c>
      <c r="C752" t="s">
        <v>32</v>
      </c>
      <c r="D752" t="s">
        <v>83</v>
      </c>
      <c r="E752" t="s">
        <v>35</v>
      </c>
      <c r="F752" t="s">
        <v>26</v>
      </c>
      <c r="G752" t="s">
        <v>94</v>
      </c>
      <c r="H752">
        <v>18</v>
      </c>
      <c r="I752">
        <v>28000</v>
      </c>
      <c r="J752">
        <f t="shared" si="22"/>
        <v>504000</v>
      </c>
      <c r="K752">
        <f>J752*0.82</f>
        <v>413280</v>
      </c>
      <c r="L752">
        <f t="shared" si="23"/>
        <v>90720</v>
      </c>
    </row>
    <row r="753" spans="1:12" x14ac:dyDescent="0.3">
      <c r="A753" t="s">
        <v>810</v>
      </c>
      <c r="B753" s="2">
        <v>45773</v>
      </c>
      <c r="C753" t="s">
        <v>59</v>
      </c>
      <c r="D753" t="s">
        <v>19</v>
      </c>
      <c r="E753" t="s">
        <v>15</v>
      </c>
      <c r="F753" t="s">
        <v>16</v>
      </c>
      <c r="G753" t="s">
        <v>17</v>
      </c>
      <c r="H753">
        <v>20</v>
      </c>
      <c r="I753">
        <v>300</v>
      </c>
      <c r="J753">
        <f t="shared" si="22"/>
        <v>6000</v>
      </c>
      <c r="K753">
        <f>J753*0.72</f>
        <v>4320</v>
      </c>
      <c r="L753">
        <f t="shared" si="23"/>
        <v>1680</v>
      </c>
    </row>
    <row r="754" spans="1:12" x14ac:dyDescent="0.3">
      <c r="A754" t="s">
        <v>811</v>
      </c>
      <c r="B754" s="2">
        <v>45937</v>
      </c>
      <c r="C754" t="s">
        <v>38</v>
      </c>
      <c r="D754" t="s">
        <v>51</v>
      </c>
      <c r="E754" t="s">
        <v>30</v>
      </c>
      <c r="F754" t="s">
        <v>16</v>
      </c>
      <c r="G754" t="s">
        <v>17</v>
      </c>
      <c r="H754">
        <v>19</v>
      </c>
      <c r="I754">
        <v>300</v>
      </c>
      <c r="J754">
        <f t="shared" si="22"/>
        <v>5700</v>
      </c>
      <c r="K754">
        <f>J754*0.77</f>
        <v>4389</v>
      </c>
      <c r="L754">
        <f t="shared" si="23"/>
        <v>1311</v>
      </c>
    </row>
    <row r="755" spans="1:12" x14ac:dyDescent="0.3">
      <c r="A755" t="s">
        <v>812</v>
      </c>
      <c r="B755" s="2">
        <v>45812</v>
      </c>
      <c r="C755" t="s">
        <v>43</v>
      </c>
      <c r="D755" t="s">
        <v>64</v>
      </c>
      <c r="E755" t="s">
        <v>20</v>
      </c>
      <c r="F755" t="s">
        <v>26</v>
      </c>
      <c r="G755" t="s">
        <v>52</v>
      </c>
      <c r="H755">
        <v>16</v>
      </c>
      <c r="I755">
        <v>35000</v>
      </c>
      <c r="J755">
        <f t="shared" si="22"/>
        <v>560000</v>
      </c>
      <c r="K755">
        <f>J755*0.84</f>
        <v>470400</v>
      </c>
      <c r="L755">
        <f t="shared" si="23"/>
        <v>89600</v>
      </c>
    </row>
    <row r="756" spans="1:12" x14ac:dyDescent="0.3">
      <c r="A756" t="s">
        <v>813</v>
      </c>
      <c r="B756" s="2">
        <v>45779</v>
      </c>
      <c r="C756" t="s">
        <v>48</v>
      </c>
      <c r="D756" t="s">
        <v>86</v>
      </c>
      <c r="E756" t="s">
        <v>46</v>
      </c>
      <c r="F756" t="s">
        <v>16</v>
      </c>
      <c r="G756" t="s">
        <v>60</v>
      </c>
      <c r="H756">
        <v>7</v>
      </c>
      <c r="I756">
        <v>250</v>
      </c>
      <c r="J756">
        <f t="shared" si="22"/>
        <v>1750</v>
      </c>
      <c r="K756">
        <f>J756*0.84</f>
        <v>1470</v>
      </c>
      <c r="L756">
        <f t="shared" si="23"/>
        <v>280</v>
      </c>
    </row>
    <row r="757" spans="1:12" x14ac:dyDescent="0.3">
      <c r="A757" t="s">
        <v>814</v>
      </c>
      <c r="B757" s="2">
        <v>45830</v>
      </c>
      <c r="C757" t="s">
        <v>43</v>
      </c>
      <c r="D757" t="s">
        <v>64</v>
      </c>
      <c r="E757" t="s">
        <v>15</v>
      </c>
      <c r="F757" t="s">
        <v>16</v>
      </c>
      <c r="G757" t="s">
        <v>17</v>
      </c>
      <c r="H757">
        <v>18</v>
      </c>
      <c r="I757">
        <v>300</v>
      </c>
      <c r="J757">
        <f t="shared" si="22"/>
        <v>5400</v>
      </c>
      <c r="K757">
        <f>J757*0.76</f>
        <v>4104</v>
      </c>
      <c r="L757">
        <f t="shared" si="23"/>
        <v>1296</v>
      </c>
    </row>
    <row r="758" spans="1:12" x14ac:dyDescent="0.3">
      <c r="A758" t="s">
        <v>815</v>
      </c>
      <c r="B758" s="2">
        <v>46000</v>
      </c>
      <c r="C758" t="s">
        <v>24</v>
      </c>
      <c r="D758" t="s">
        <v>19</v>
      </c>
      <c r="E758" t="s">
        <v>46</v>
      </c>
      <c r="F758" t="s">
        <v>26</v>
      </c>
      <c r="G758" t="s">
        <v>127</v>
      </c>
      <c r="H758">
        <v>17</v>
      </c>
      <c r="I758">
        <v>1500</v>
      </c>
      <c r="J758">
        <f t="shared" si="22"/>
        <v>25500</v>
      </c>
      <c r="K758">
        <f>J758*0.72</f>
        <v>18360</v>
      </c>
      <c r="L758">
        <f t="shared" si="23"/>
        <v>7140</v>
      </c>
    </row>
    <row r="759" spans="1:12" x14ac:dyDescent="0.3">
      <c r="A759" t="s">
        <v>816</v>
      </c>
      <c r="B759" s="2">
        <v>45820</v>
      </c>
      <c r="C759" t="s">
        <v>43</v>
      </c>
      <c r="D759" t="s">
        <v>83</v>
      </c>
      <c r="E759" t="s">
        <v>30</v>
      </c>
      <c r="F759" t="s">
        <v>16</v>
      </c>
      <c r="G759" t="s">
        <v>17</v>
      </c>
      <c r="H759">
        <v>11</v>
      </c>
      <c r="I759">
        <v>300</v>
      </c>
      <c r="J759">
        <f t="shared" si="22"/>
        <v>3300</v>
      </c>
      <c r="K759">
        <f>J759*0.71</f>
        <v>2343</v>
      </c>
      <c r="L759">
        <f t="shared" si="23"/>
        <v>957</v>
      </c>
    </row>
    <row r="760" spans="1:12" x14ac:dyDescent="0.3">
      <c r="A760" t="s">
        <v>817</v>
      </c>
      <c r="B760" s="2">
        <v>45706</v>
      </c>
      <c r="C760" t="s">
        <v>50</v>
      </c>
      <c r="D760" t="s">
        <v>83</v>
      </c>
      <c r="E760" t="s">
        <v>15</v>
      </c>
      <c r="F760" t="s">
        <v>21</v>
      </c>
      <c r="G760" t="s">
        <v>74</v>
      </c>
      <c r="H760">
        <v>9</v>
      </c>
      <c r="I760">
        <v>12000</v>
      </c>
      <c r="J760">
        <f t="shared" si="22"/>
        <v>108000</v>
      </c>
      <c r="K760">
        <f>J760*0.71</f>
        <v>76680</v>
      </c>
      <c r="L760">
        <f t="shared" si="23"/>
        <v>31320</v>
      </c>
    </row>
    <row r="761" spans="1:12" x14ac:dyDescent="0.3">
      <c r="A761" t="s">
        <v>818</v>
      </c>
      <c r="B761" s="2">
        <v>45938</v>
      </c>
      <c r="C761" t="s">
        <v>38</v>
      </c>
      <c r="D761" t="s">
        <v>86</v>
      </c>
      <c r="E761" t="s">
        <v>30</v>
      </c>
      <c r="F761" t="s">
        <v>26</v>
      </c>
      <c r="G761" t="s">
        <v>127</v>
      </c>
      <c r="H761">
        <v>6</v>
      </c>
      <c r="I761">
        <v>1500</v>
      </c>
      <c r="J761">
        <f t="shared" si="22"/>
        <v>9000</v>
      </c>
      <c r="K761">
        <f>J761*0.71</f>
        <v>6390</v>
      </c>
      <c r="L761">
        <f t="shared" si="23"/>
        <v>2610</v>
      </c>
    </row>
    <row r="762" spans="1:12" x14ac:dyDescent="0.3">
      <c r="A762" t="s">
        <v>819</v>
      </c>
      <c r="B762" s="2">
        <v>45762</v>
      </c>
      <c r="C762" t="s">
        <v>59</v>
      </c>
      <c r="D762" t="s">
        <v>72</v>
      </c>
      <c r="E762" t="s">
        <v>15</v>
      </c>
      <c r="F762" t="s">
        <v>26</v>
      </c>
      <c r="G762" t="s">
        <v>44</v>
      </c>
      <c r="H762">
        <v>6</v>
      </c>
      <c r="I762">
        <v>25000</v>
      </c>
      <c r="J762">
        <f t="shared" si="22"/>
        <v>150000</v>
      </c>
      <c r="K762">
        <f>J762*0.83</f>
        <v>124500</v>
      </c>
      <c r="L762">
        <f t="shared" si="23"/>
        <v>25500</v>
      </c>
    </row>
    <row r="763" spans="1:12" x14ac:dyDescent="0.3">
      <c r="A763" t="s">
        <v>820</v>
      </c>
      <c r="B763" s="2">
        <v>45829</v>
      </c>
      <c r="C763" t="s">
        <v>43</v>
      </c>
      <c r="D763" t="s">
        <v>83</v>
      </c>
      <c r="E763" t="s">
        <v>46</v>
      </c>
      <c r="F763" t="s">
        <v>21</v>
      </c>
      <c r="G763" t="s">
        <v>22</v>
      </c>
      <c r="H763">
        <v>18</v>
      </c>
      <c r="I763">
        <v>15000</v>
      </c>
      <c r="J763">
        <f t="shared" si="22"/>
        <v>270000</v>
      </c>
      <c r="K763">
        <f>J763*0.77</f>
        <v>207900</v>
      </c>
      <c r="L763">
        <f t="shared" si="23"/>
        <v>62100</v>
      </c>
    </row>
    <row r="764" spans="1:12" x14ac:dyDescent="0.3">
      <c r="A764" t="s">
        <v>821</v>
      </c>
      <c r="B764" s="2">
        <v>46009</v>
      </c>
      <c r="C764" t="s">
        <v>24</v>
      </c>
      <c r="D764" t="s">
        <v>72</v>
      </c>
      <c r="E764" t="s">
        <v>35</v>
      </c>
      <c r="F764" t="s">
        <v>26</v>
      </c>
      <c r="G764" t="s">
        <v>94</v>
      </c>
      <c r="H764">
        <v>13</v>
      </c>
      <c r="I764">
        <v>28000</v>
      </c>
      <c r="J764">
        <f t="shared" si="22"/>
        <v>364000</v>
      </c>
      <c r="K764">
        <f>J764*0.85</f>
        <v>309400</v>
      </c>
      <c r="L764">
        <f t="shared" si="23"/>
        <v>54600</v>
      </c>
    </row>
    <row r="765" spans="1:12" x14ac:dyDescent="0.3">
      <c r="A765" t="s">
        <v>822</v>
      </c>
      <c r="B765" s="2">
        <v>45848</v>
      </c>
      <c r="C765" t="s">
        <v>76</v>
      </c>
      <c r="D765" t="s">
        <v>83</v>
      </c>
      <c r="E765" t="s">
        <v>20</v>
      </c>
      <c r="F765" t="s">
        <v>21</v>
      </c>
      <c r="G765" t="s">
        <v>54</v>
      </c>
      <c r="H765">
        <v>13</v>
      </c>
      <c r="I765">
        <v>18000</v>
      </c>
      <c r="J765">
        <f t="shared" si="22"/>
        <v>234000</v>
      </c>
      <c r="K765">
        <f>J765*0.8</f>
        <v>187200</v>
      </c>
      <c r="L765">
        <f t="shared" si="23"/>
        <v>46800</v>
      </c>
    </row>
    <row r="766" spans="1:12" x14ac:dyDescent="0.3">
      <c r="A766" t="s">
        <v>823</v>
      </c>
      <c r="B766" s="2">
        <v>45842</v>
      </c>
      <c r="C766" t="s">
        <v>76</v>
      </c>
      <c r="D766" t="s">
        <v>51</v>
      </c>
      <c r="E766" t="s">
        <v>46</v>
      </c>
      <c r="F766" t="s">
        <v>26</v>
      </c>
      <c r="G766" t="s">
        <v>111</v>
      </c>
      <c r="H766">
        <v>6</v>
      </c>
      <c r="I766">
        <v>85000</v>
      </c>
      <c r="J766">
        <f t="shared" si="22"/>
        <v>510000</v>
      </c>
      <c r="K766">
        <f>J766*0.75</f>
        <v>382500</v>
      </c>
      <c r="L766">
        <f t="shared" si="23"/>
        <v>127500</v>
      </c>
    </row>
    <row r="767" spans="1:12" x14ac:dyDescent="0.3">
      <c r="A767" t="s">
        <v>824</v>
      </c>
      <c r="B767" s="2">
        <v>45844</v>
      </c>
      <c r="C767" t="s">
        <v>76</v>
      </c>
      <c r="D767" t="s">
        <v>64</v>
      </c>
      <c r="E767" t="s">
        <v>30</v>
      </c>
      <c r="F767" t="s">
        <v>26</v>
      </c>
      <c r="G767" t="s">
        <v>27</v>
      </c>
      <c r="H767">
        <v>7</v>
      </c>
      <c r="I767">
        <v>45000</v>
      </c>
      <c r="J767">
        <f t="shared" si="22"/>
        <v>315000</v>
      </c>
      <c r="K767">
        <f>J767*0.74</f>
        <v>233100</v>
      </c>
      <c r="L767">
        <f t="shared" si="23"/>
        <v>81900</v>
      </c>
    </row>
    <row r="768" spans="1:12" x14ac:dyDescent="0.3">
      <c r="A768" t="s">
        <v>825</v>
      </c>
      <c r="B768" s="2">
        <v>45908</v>
      </c>
      <c r="C768" t="s">
        <v>13</v>
      </c>
      <c r="D768" t="s">
        <v>39</v>
      </c>
      <c r="E768" t="s">
        <v>20</v>
      </c>
      <c r="F768" t="s">
        <v>21</v>
      </c>
      <c r="G768" t="s">
        <v>40</v>
      </c>
      <c r="H768">
        <v>3</v>
      </c>
      <c r="I768">
        <v>5000</v>
      </c>
      <c r="J768">
        <f t="shared" si="22"/>
        <v>15000</v>
      </c>
      <c r="K768">
        <f>J768*0.8</f>
        <v>12000</v>
      </c>
      <c r="L768">
        <f t="shared" si="23"/>
        <v>3000</v>
      </c>
    </row>
    <row r="769" spans="1:12" x14ac:dyDescent="0.3">
      <c r="A769" t="s">
        <v>826</v>
      </c>
      <c r="B769" s="2">
        <v>45999</v>
      </c>
      <c r="C769" t="s">
        <v>24</v>
      </c>
      <c r="D769" t="s">
        <v>19</v>
      </c>
      <c r="E769" t="s">
        <v>46</v>
      </c>
      <c r="F769" t="s">
        <v>16</v>
      </c>
      <c r="G769" t="s">
        <v>78</v>
      </c>
      <c r="H769">
        <v>18</v>
      </c>
      <c r="I769">
        <v>800</v>
      </c>
      <c r="J769">
        <f t="shared" si="22"/>
        <v>14400</v>
      </c>
      <c r="K769">
        <f>J769*0.84</f>
        <v>12096</v>
      </c>
      <c r="L769">
        <f t="shared" si="23"/>
        <v>2304</v>
      </c>
    </row>
    <row r="770" spans="1:12" x14ac:dyDescent="0.3">
      <c r="A770" t="s">
        <v>827</v>
      </c>
      <c r="B770" s="2">
        <v>45901</v>
      </c>
      <c r="C770" t="s">
        <v>13</v>
      </c>
      <c r="D770" t="s">
        <v>64</v>
      </c>
      <c r="E770" t="s">
        <v>30</v>
      </c>
      <c r="F770" t="s">
        <v>26</v>
      </c>
      <c r="G770" t="s">
        <v>127</v>
      </c>
      <c r="H770">
        <v>5</v>
      </c>
      <c r="I770">
        <v>1500</v>
      </c>
      <c r="J770">
        <f t="shared" ref="J770:J833" si="24">H770*I770</f>
        <v>7500</v>
      </c>
      <c r="K770">
        <f>J770*0.75</f>
        <v>5625</v>
      </c>
      <c r="L770">
        <f t="shared" ref="L770:L833" si="25">J770-K770</f>
        <v>1875</v>
      </c>
    </row>
    <row r="771" spans="1:12" x14ac:dyDescent="0.3">
      <c r="A771" t="s">
        <v>828</v>
      </c>
      <c r="B771" s="2">
        <v>45673</v>
      </c>
      <c r="C771" t="s">
        <v>29</v>
      </c>
      <c r="D771" t="s">
        <v>19</v>
      </c>
      <c r="E771" t="s">
        <v>15</v>
      </c>
      <c r="F771" t="s">
        <v>21</v>
      </c>
      <c r="G771" t="s">
        <v>54</v>
      </c>
      <c r="H771">
        <v>9</v>
      </c>
      <c r="I771">
        <v>18000</v>
      </c>
      <c r="J771">
        <f t="shared" si="24"/>
        <v>162000</v>
      </c>
      <c r="K771">
        <f>J771*0.81</f>
        <v>131220</v>
      </c>
      <c r="L771">
        <f t="shared" si="25"/>
        <v>30780</v>
      </c>
    </row>
    <row r="772" spans="1:12" x14ac:dyDescent="0.3">
      <c r="A772" t="s">
        <v>829</v>
      </c>
      <c r="B772" s="2">
        <v>45838</v>
      </c>
      <c r="C772" t="s">
        <v>43</v>
      </c>
      <c r="D772" t="s">
        <v>39</v>
      </c>
      <c r="E772" t="s">
        <v>15</v>
      </c>
      <c r="F772" t="s">
        <v>26</v>
      </c>
      <c r="G772" t="s">
        <v>111</v>
      </c>
      <c r="H772">
        <v>4</v>
      </c>
      <c r="I772">
        <v>85000</v>
      </c>
      <c r="J772">
        <f t="shared" si="24"/>
        <v>340000</v>
      </c>
      <c r="K772">
        <f>J772*0.76</f>
        <v>258400</v>
      </c>
      <c r="L772">
        <f t="shared" si="25"/>
        <v>81600</v>
      </c>
    </row>
    <row r="773" spans="1:12" x14ac:dyDescent="0.3">
      <c r="A773" t="s">
        <v>830</v>
      </c>
      <c r="B773" s="2">
        <v>46007</v>
      </c>
      <c r="C773" t="s">
        <v>24</v>
      </c>
      <c r="D773" t="s">
        <v>51</v>
      </c>
      <c r="E773" t="s">
        <v>15</v>
      </c>
      <c r="F773" t="s">
        <v>26</v>
      </c>
      <c r="G773" t="s">
        <v>69</v>
      </c>
      <c r="H773">
        <v>11</v>
      </c>
      <c r="I773">
        <v>2500</v>
      </c>
      <c r="J773">
        <f t="shared" si="24"/>
        <v>27500</v>
      </c>
      <c r="K773">
        <f>J773*0.73</f>
        <v>20075</v>
      </c>
      <c r="L773">
        <f t="shared" si="25"/>
        <v>7425</v>
      </c>
    </row>
    <row r="774" spans="1:12" x14ac:dyDescent="0.3">
      <c r="A774" t="s">
        <v>831</v>
      </c>
      <c r="B774" s="2">
        <v>46017</v>
      </c>
      <c r="C774" t="s">
        <v>24</v>
      </c>
      <c r="D774" t="s">
        <v>51</v>
      </c>
      <c r="E774" t="s">
        <v>20</v>
      </c>
      <c r="F774" t="s">
        <v>26</v>
      </c>
      <c r="G774" t="s">
        <v>94</v>
      </c>
      <c r="H774">
        <v>15</v>
      </c>
      <c r="I774">
        <v>28000</v>
      </c>
      <c r="J774">
        <f t="shared" si="24"/>
        <v>420000</v>
      </c>
      <c r="K774">
        <f>J774*0.73</f>
        <v>306600</v>
      </c>
      <c r="L774">
        <f t="shared" si="25"/>
        <v>113400</v>
      </c>
    </row>
    <row r="775" spans="1:12" x14ac:dyDescent="0.3">
      <c r="A775" t="s">
        <v>832</v>
      </c>
      <c r="B775" s="2">
        <v>45967</v>
      </c>
      <c r="C775" t="s">
        <v>32</v>
      </c>
      <c r="D775" t="s">
        <v>72</v>
      </c>
      <c r="E775" t="s">
        <v>35</v>
      </c>
      <c r="F775" t="s">
        <v>26</v>
      </c>
      <c r="G775" t="s">
        <v>127</v>
      </c>
      <c r="H775">
        <v>8</v>
      </c>
      <c r="I775">
        <v>1500</v>
      </c>
      <c r="J775">
        <f t="shared" si="24"/>
        <v>12000</v>
      </c>
      <c r="K775">
        <f>J775*0.84</f>
        <v>10080</v>
      </c>
      <c r="L775">
        <f t="shared" si="25"/>
        <v>1920</v>
      </c>
    </row>
    <row r="776" spans="1:12" x14ac:dyDescent="0.3">
      <c r="A776" t="s">
        <v>833</v>
      </c>
      <c r="B776" s="2">
        <v>45893</v>
      </c>
      <c r="C776" t="s">
        <v>57</v>
      </c>
      <c r="D776" t="s">
        <v>33</v>
      </c>
      <c r="E776" t="s">
        <v>30</v>
      </c>
      <c r="F776" t="s">
        <v>26</v>
      </c>
      <c r="G776" t="s">
        <v>44</v>
      </c>
      <c r="H776">
        <v>17</v>
      </c>
      <c r="I776">
        <v>25000</v>
      </c>
      <c r="J776">
        <f t="shared" si="24"/>
        <v>425000</v>
      </c>
      <c r="K776">
        <f>J776*0.78</f>
        <v>331500</v>
      </c>
      <c r="L776">
        <f t="shared" si="25"/>
        <v>93500</v>
      </c>
    </row>
    <row r="777" spans="1:12" x14ac:dyDescent="0.3">
      <c r="A777" t="s">
        <v>834</v>
      </c>
      <c r="B777" s="2">
        <v>45903</v>
      </c>
      <c r="C777" t="s">
        <v>13</v>
      </c>
      <c r="D777" t="s">
        <v>14</v>
      </c>
      <c r="E777" t="s">
        <v>46</v>
      </c>
      <c r="F777" t="s">
        <v>16</v>
      </c>
      <c r="G777" t="s">
        <v>92</v>
      </c>
      <c r="H777">
        <v>7</v>
      </c>
      <c r="I777">
        <v>1200</v>
      </c>
      <c r="J777">
        <f t="shared" si="24"/>
        <v>8400</v>
      </c>
      <c r="K777">
        <f>J777*0.82</f>
        <v>6888</v>
      </c>
      <c r="L777">
        <f t="shared" si="25"/>
        <v>1512</v>
      </c>
    </row>
    <row r="778" spans="1:12" x14ac:dyDescent="0.3">
      <c r="A778" t="s">
        <v>835</v>
      </c>
      <c r="B778" s="2">
        <v>45966</v>
      </c>
      <c r="C778" t="s">
        <v>32</v>
      </c>
      <c r="D778" t="s">
        <v>86</v>
      </c>
      <c r="E778" t="s">
        <v>20</v>
      </c>
      <c r="F778" t="s">
        <v>26</v>
      </c>
      <c r="G778" t="s">
        <v>52</v>
      </c>
      <c r="H778">
        <v>3</v>
      </c>
      <c r="I778">
        <v>35000</v>
      </c>
      <c r="J778">
        <f t="shared" si="24"/>
        <v>105000</v>
      </c>
      <c r="K778">
        <f>J778*0.85</f>
        <v>89250</v>
      </c>
      <c r="L778">
        <f t="shared" si="25"/>
        <v>15750</v>
      </c>
    </row>
    <row r="779" spans="1:12" x14ac:dyDescent="0.3">
      <c r="A779" t="s">
        <v>836</v>
      </c>
      <c r="B779" s="2">
        <v>45923</v>
      </c>
      <c r="C779" t="s">
        <v>13</v>
      </c>
      <c r="D779" t="s">
        <v>39</v>
      </c>
      <c r="E779" t="s">
        <v>46</v>
      </c>
      <c r="F779" t="s">
        <v>16</v>
      </c>
      <c r="G779" t="s">
        <v>60</v>
      </c>
      <c r="H779">
        <v>11</v>
      </c>
      <c r="I779">
        <v>250</v>
      </c>
      <c r="J779">
        <f t="shared" si="24"/>
        <v>2750</v>
      </c>
      <c r="K779">
        <f>J779*0.8</f>
        <v>2200</v>
      </c>
      <c r="L779">
        <f t="shared" si="25"/>
        <v>550</v>
      </c>
    </row>
    <row r="780" spans="1:12" x14ac:dyDescent="0.3">
      <c r="A780" t="s">
        <v>837</v>
      </c>
      <c r="B780" s="2">
        <v>45871</v>
      </c>
      <c r="C780" t="s">
        <v>57</v>
      </c>
      <c r="D780" t="s">
        <v>39</v>
      </c>
      <c r="E780" t="s">
        <v>30</v>
      </c>
      <c r="F780" t="s">
        <v>21</v>
      </c>
      <c r="G780" t="s">
        <v>65</v>
      </c>
      <c r="H780">
        <v>7</v>
      </c>
      <c r="I780">
        <v>22000</v>
      </c>
      <c r="J780">
        <f t="shared" si="24"/>
        <v>154000</v>
      </c>
      <c r="K780">
        <f>J780*0.74</f>
        <v>113960</v>
      </c>
      <c r="L780">
        <f t="shared" si="25"/>
        <v>40040</v>
      </c>
    </row>
    <row r="781" spans="1:12" x14ac:dyDescent="0.3">
      <c r="A781" t="s">
        <v>838</v>
      </c>
      <c r="B781" s="2">
        <v>45986</v>
      </c>
      <c r="C781" t="s">
        <v>32</v>
      </c>
      <c r="D781" t="s">
        <v>64</v>
      </c>
      <c r="E781" t="s">
        <v>20</v>
      </c>
      <c r="F781" t="s">
        <v>26</v>
      </c>
      <c r="G781" t="s">
        <v>52</v>
      </c>
      <c r="H781">
        <v>8</v>
      </c>
      <c r="I781">
        <v>35000</v>
      </c>
      <c r="J781">
        <f t="shared" si="24"/>
        <v>280000</v>
      </c>
      <c r="K781">
        <f>J781*0.79</f>
        <v>221200</v>
      </c>
      <c r="L781">
        <f t="shared" si="25"/>
        <v>58800</v>
      </c>
    </row>
    <row r="782" spans="1:12" x14ac:dyDescent="0.3">
      <c r="A782" t="s">
        <v>839</v>
      </c>
      <c r="B782" s="2">
        <v>45753</v>
      </c>
      <c r="C782" t="s">
        <v>59</v>
      </c>
      <c r="D782" t="s">
        <v>33</v>
      </c>
      <c r="E782" t="s">
        <v>15</v>
      </c>
      <c r="F782" t="s">
        <v>16</v>
      </c>
      <c r="G782" t="s">
        <v>78</v>
      </c>
      <c r="H782">
        <v>13</v>
      </c>
      <c r="I782">
        <v>800</v>
      </c>
      <c r="J782">
        <f t="shared" si="24"/>
        <v>10400</v>
      </c>
      <c r="K782">
        <f>J782*0.78</f>
        <v>8112</v>
      </c>
      <c r="L782">
        <f t="shared" si="25"/>
        <v>2288</v>
      </c>
    </row>
    <row r="783" spans="1:12" x14ac:dyDescent="0.3">
      <c r="A783" t="s">
        <v>840</v>
      </c>
      <c r="B783" s="2">
        <v>45964</v>
      </c>
      <c r="C783" t="s">
        <v>32</v>
      </c>
      <c r="D783" t="s">
        <v>86</v>
      </c>
      <c r="E783" t="s">
        <v>15</v>
      </c>
      <c r="F783" t="s">
        <v>16</v>
      </c>
      <c r="G783" t="s">
        <v>17</v>
      </c>
      <c r="H783">
        <v>17</v>
      </c>
      <c r="I783">
        <v>300</v>
      </c>
      <c r="J783">
        <f t="shared" si="24"/>
        <v>5100</v>
      </c>
      <c r="K783">
        <f>J783*0.8</f>
        <v>4080</v>
      </c>
      <c r="L783">
        <f t="shared" si="25"/>
        <v>1020</v>
      </c>
    </row>
    <row r="784" spans="1:12" x14ac:dyDescent="0.3">
      <c r="A784" t="s">
        <v>841</v>
      </c>
      <c r="B784" s="2">
        <v>45901</v>
      </c>
      <c r="C784" t="s">
        <v>13</v>
      </c>
      <c r="D784" t="s">
        <v>25</v>
      </c>
      <c r="E784" t="s">
        <v>20</v>
      </c>
      <c r="F784" t="s">
        <v>26</v>
      </c>
      <c r="G784" t="s">
        <v>27</v>
      </c>
      <c r="H784">
        <v>20</v>
      </c>
      <c r="I784">
        <v>45000</v>
      </c>
      <c r="J784">
        <f t="shared" si="24"/>
        <v>900000</v>
      </c>
      <c r="K784">
        <f>J784*0.82</f>
        <v>738000</v>
      </c>
      <c r="L784">
        <f t="shared" si="25"/>
        <v>162000</v>
      </c>
    </row>
    <row r="785" spans="1:12" x14ac:dyDescent="0.3">
      <c r="A785" t="s">
        <v>842</v>
      </c>
      <c r="B785" s="2">
        <v>45692</v>
      </c>
      <c r="C785" t="s">
        <v>50</v>
      </c>
      <c r="D785" t="s">
        <v>19</v>
      </c>
      <c r="E785" t="s">
        <v>30</v>
      </c>
      <c r="F785" t="s">
        <v>21</v>
      </c>
      <c r="G785" t="s">
        <v>74</v>
      </c>
      <c r="H785">
        <v>9</v>
      </c>
      <c r="I785">
        <v>12000</v>
      </c>
      <c r="J785">
        <f t="shared" si="24"/>
        <v>108000</v>
      </c>
      <c r="K785">
        <f>J785*0.78</f>
        <v>84240</v>
      </c>
      <c r="L785">
        <f t="shared" si="25"/>
        <v>23760</v>
      </c>
    </row>
    <row r="786" spans="1:12" x14ac:dyDescent="0.3">
      <c r="A786" t="s">
        <v>843</v>
      </c>
      <c r="B786" s="2">
        <v>45912</v>
      </c>
      <c r="C786" t="s">
        <v>13</v>
      </c>
      <c r="D786" t="s">
        <v>72</v>
      </c>
      <c r="E786" t="s">
        <v>46</v>
      </c>
      <c r="F786" t="s">
        <v>21</v>
      </c>
      <c r="G786" t="s">
        <v>54</v>
      </c>
      <c r="H786">
        <v>17</v>
      </c>
      <c r="I786">
        <v>18000</v>
      </c>
      <c r="J786">
        <f t="shared" si="24"/>
        <v>306000</v>
      </c>
      <c r="K786">
        <f>J786*0.77</f>
        <v>235620</v>
      </c>
      <c r="L786">
        <f t="shared" si="25"/>
        <v>70380</v>
      </c>
    </row>
    <row r="787" spans="1:12" x14ac:dyDescent="0.3">
      <c r="A787" t="s">
        <v>844</v>
      </c>
      <c r="B787" s="2">
        <v>45726</v>
      </c>
      <c r="C787" t="s">
        <v>63</v>
      </c>
      <c r="D787" t="s">
        <v>86</v>
      </c>
      <c r="E787" t="s">
        <v>15</v>
      </c>
      <c r="F787" t="s">
        <v>16</v>
      </c>
      <c r="G787" t="s">
        <v>78</v>
      </c>
      <c r="H787">
        <v>17</v>
      </c>
      <c r="I787">
        <v>800</v>
      </c>
      <c r="J787">
        <f t="shared" si="24"/>
        <v>13600</v>
      </c>
      <c r="K787">
        <f>J787*0.83</f>
        <v>11288</v>
      </c>
      <c r="L787">
        <f t="shared" si="25"/>
        <v>2312</v>
      </c>
    </row>
    <row r="788" spans="1:12" x14ac:dyDescent="0.3">
      <c r="A788" t="s">
        <v>845</v>
      </c>
      <c r="B788" s="2">
        <v>45708</v>
      </c>
      <c r="C788" t="s">
        <v>50</v>
      </c>
      <c r="D788" t="s">
        <v>64</v>
      </c>
      <c r="E788" t="s">
        <v>46</v>
      </c>
      <c r="F788" t="s">
        <v>16</v>
      </c>
      <c r="G788" t="s">
        <v>78</v>
      </c>
      <c r="H788">
        <v>12</v>
      </c>
      <c r="I788">
        <v>800</v>
      </c>
      <c r="J788">
        <f t="shared" si="24"/>
        <v>9600</v>
      </c>
      <c r="K788">
        <f>J788*0.77</f>
        <v>7392</v>
      </c>
      <c r="L788">
        <f t="shared" si="25"/>
        <v>2208</v>
      </c>
    </row>
    <row r="789" spans="1:12" x14ac:dyDescent="0.3">
      <c r="A789" t="s">
        <v>846</v>
      </c>
      <c r="B789" s="2">
        <v>45744</v>
      </c>
      <c r="C789" t="s">
        <v>63</v>
      </c>
      <c r="D789" t="s">
        <v>64</v>
      </c>
      <c r="E789" t="s">
        <v>20</v>
      </c>
      <c r="F789" t="s">
        <v>26</v>
      </c>
      <c r="G789" t="s">
        <v>52</v>
      </c>
      <c r="H789">
        <v>3</v>
      </c>
      <c r="I789">
        <v>35000</v>
      </c>
      <c r="J789">
        <f t="shared" si="24"/>
        <v>105000</v>
      </c>
      <c r="K789">
        <f>J789*0.83</f>
        <v>87150</v>
      </c>
      <c r="L789">
        <f t="shared" si="25"/>
        <v>17850</v>
      </c>
    </row>
    <row r="790" spans="1:12" x14ac:dyDescent="0.3">
      <c r="A790" t="s">
        <v>847</v>
      </c>
      <c r="B790" s="2">
        <v>45766</v>
      </c>
      <c r="C790" t="s">
        <v>59</v>
      </c>
      <c r="D790" t="s">
        <v>86</v>
      </c>
      <c r="E790" t="s">
        <v>35</v>
      </c>
      <c r="F790" t="s">
        <v>26</v>
      </c>
      <c r="G790" t="s">
        <v>52</v>
      </c>
      <c r="H790">
        <v>16</v>
      </c>
      <c r="I790">
        <v>35000</v>
      </c>
      <c r="J790">
        <f t="shared" si="24"/>
        <v>560000</v>
      </c>
      <c r="K790">
        <f>J790*0.77</f>
        <v>431200</v>
      </c>
      <c r="L790">
        <f t="shared" si="25"/>
        <v>128800</v>
      </c>
    </row>
    <row r="791" spans="1:12" x14ac:dyDescent="0.3">
      <c r="A791" t="s">
        <v>848</v>
      </c>
      <c r="B791" s="2">
        <v>45920</v>
      </c>
      <c r="C791" t="s">
        <v>13</v>
      </c>
      <c r="D791" t="s">
        <v>14</v>
      </c>
      <c r="E791" t="s">
        <v>46</v>
      </c>
      <c r="F791" t="s">
        <v>21</v>
      </c>
      <c r="G791" t="s">
        <v>65</v>
      </c>
      <c r="H791">
        <v>17</v>
      </c>
      <c r="I791">
        <v>22000</v>
      </c>
      <c r="J791">
        <f t="shared" si="24"/>
        <v>374000</v>
      </c>
      <c r="K791">
        <f>J791*0.78</f>
        <v>291720</v>
      </c>
      <c r="L791">
        <f t="shared" si="25"/>
        <v>82280</v>
      </c>
    </row>
    <row r="792" spans="1:12" x14ac:dyDescent="0.3">
      <c r="A792" t="s">
        <v>849</v>
      </c>
      <c r="B792" s="2">
        <v>45877</v>
      </c>
      <c r="C792" t="s">
        <v>57</v>
      </c>
      <c r="D792" t="s">
        <v>83</v>
      </c>
      <c r="E792" t="s">
        <v>20</v>
      </c>
      <c r="F792" t="s">
        <v>21</v>
      </c>
      <c r="G792" t="s">
        <v>40</v>
      </c>
      <c r="H792">
        <v>8</v>
      </c>
      <c r="I792">
        <v>5000</v>
      </c>
      <c r="J792">
        <f t="shared" si="24"/>
        <v>40000</v>
      </c>
      <c r="K792">
        <f>J792*0.84</f>
        <v>33600</v>
      </c>
      <c r="L792">
        <f t="shared" si="25"/>
        <v>6400</v>
      </c>
    </row>
    <row r="793" spans="1:12" x14ac:dyDescent="0.3">
      <c r="A793" t="s">
        <v>850</v>
      </c>
      <c r="B793" s="2">
        <v>45891</v>
      </c>
      <c r="C793" t="s">
        <v>57</v>
      </c>
      <c r="D793" t="s">
        <v>72</v>
      </c>
      <c r="E793" t="s">
        <v>46</v>
      </c>
      <c r="F793" t="s">
        <v>16</v>
      </c>
      <c r="G793" t="s">
        <v>78</v>
      </c>
      <c r="H793">
        <v>14</v>
      </c>
      <c r="I793">
        <v>800</v>
      </c>
      <c r="J793">
        <f t="shared" si="24"/>
        <v>11200</v>
      </c>
      <c r="K793">
        <f>J793*0.72</f>
        <v>8064</v>
      </c>
      <c r="L793">
        <f t="shared" si="25"/>
        <v>3136</v>
      </c>
    </row>
    <row r="794" spans="1:12" x14ac:dyDescent="0.3">
      <c r="A794" t="s">
        <v>851</v>
      </c>
      <c r="B794" s="2">
        <v>45673</v>
      </c>
      <c r="C794" t="s">
        <v>29</v>
      </c>
      <c r="D794" t="s">
        <v>33</v>
      </c>
      <c r="E794" t="s">
        <v>20</v>
      </c>
      <c r="F794" t="s">
        <v>26</v>
      </c>
      <c r="G794" t="s">
        <v>52</v>
      </c>
      <c r="H794">
        <v>1</v>
      </c>
      <c r="I794">
        <v>35000</v>
      </c>
      <c r="J794">
        <f t="shared" si="24"/>
        <v>35000</v>
      </c>
      <c r="K794">
        <f>J794*0.82</f>
        <v>28700</v>
      </c>
      <c r="L794">
        <f t="shared" si="25"/>
        <v>6300</v>
      </c>
    </row>
    <row r="795" spans="1:12" x14ac:dyDescent="0.3">
      <c r="A795" t="s">
        <v>852</v>
      </c>
      <c r="B795" s="2">
        <v>45751</v>
      </c>
      <c r="C795" t="s">
        <v>59</v>
      </c>
      <c r="D795" t="s">
        <v>14</v>
      </c>
      <c r="E795" t="s">
        <v>20</v>
      </c>
      <c r="F795" t="s">
        <v>16</v>
      </c>
      <c r="G795" t="s">
        <v>92</v>
      </c>
      <c r="H795">
        <v>20</v>
      </c>
      <c r="I795">
        <v>1200</v>
      </c>
      <c r="J795">
        <f t="shared" si="24"/>
        <v>24000</v>
      </c>
      <c r="K795">
        <f>J795*0.83</f>
        <v>19920</v>
      </c>
      <c r="L795">
        <f t="shared" si="25"/>
        <v>4080</v>
      </c>
    </row>
    <row r="796" spans="1:12" x14ac:dyDescent="0.3">
      <c r="A796" t="s">
        <v>853</v>
      </c>
      <c r="B796" s="2">
        <v>45692</v>
      </c>
      <c r="C796" t="s">
        <v>50</v>
      </c>
      <c r="D796" t="s">
        <v>72</v>
      </c>
      <c r="E796" t="s">
        <v>35</v>
      </c>
      <c r="F796" t="s">
        <v>21</v>
      </c>
      <c r="G796" t="s">
        <v>74</v>
      </c>
      <c r="H796">
        <v>2</v>
      </c>
      <c r="I796">
        <v>12000</v>
      </c>
      <c r="J796">
        <f t="shared" si="24"/>
        <v>24000</v>
      </c>
      <c r="K796">
        <f>J796*0.78</f>
        <v>18720</v>
      </c>
      <c r="L796">
        <f t="shared" si="25"/>
        <v>5280</v>
      </c>
    </row>
    <row r="797" spans="1:12" x14ac:dyDescent="0.3">
      <c r="A797" t="s">
        <v>854</v>
      </c>
      <c r="B797" s="2">
        <v>45930</v>
      </c>
      <c r="C797" t="s">
        <v>13</v>
      </c>
      <c r="D797" t="s">
        <v>51</v>
      </c>
      <c r="E797" t="s">
        <v>20</v>
      </c>
      <c r="F797" t="s">
        <v>16</v>
      </c>
      <c r="G797" t="s">
        <v>17</v>
      </c>
      <c r="H797">
        <v>6</v>
      </c>
      <c r="I797">
        <v>300</v>
      </c>
      <c r="J797">
        <f t="shared" si="24"/>
        <v>1800</v>
      </c>
      <c r="K797">
        <f>J797*0.71</f>
        <v>1278</v>
      </c>
      <c r="L797">
        <f t="shared" si="25"/>
        <v>522</v>
      </c>
    </row>
    <row r="798" spans="1:12" x14ac:dyDescent="0.3">
      <c r="A798" t="s">
        <v>855</v>
      </c>
      <c r="B798" s="2">
        <v>45808</v>
      </c>
      <c r="C798" t="s">
        <v>48</v>
      </c>
      <c r="D798" t="s">
        <v>14</v>
      </c>
      <c r="E798" t="s">
        <v>30</v>
      </c>
      <c r="F798" t="s">
        <v>26</v>
      </c>
      <c r="G798" t="s">
        <v>27</v>
      </c>
      <c r="H798">
        <v>6</v>
      </c>
      <c r="I798">
        <v>45000</v>
      </c>
      <c r="J798">
        <f t="shared" si="24"/>
        <v>270000</v>
      </c>
      <c r="K798">
        <f>J798*0.83</f>
        <v>224100</v>
      </c>
      <c r="L798">
        <f t="shared" si="25"/>
        <v>45900</v>
      </c>
    </row>
    <row r="799" spans="1:12" x14ac:dyDescent="0.3">
      <c r="A799" t="s">
        <v>856</v>
      </c>
      <c r="B799" s="2">
        <v>45744</v>
      </c>
      <c r="C799" t="s">
        <v>63</v>
      </c>
      <c r="D799" t="s">
        <v>39</v>
      </c>
      <c r="E799" t="s">
        <v>20</v>
      </c>
      <c r="F799" t="s">
        <v>26</v>
      </c>
      <c r="G799" t="s">
        <v>44</v>
      </c>
      <c r="H799">
        <v>8</v>
      </c>
      <c r="I799">
        <v>25000</v>
      </c>
      <c r="J799">
        <f t="shared" si="24"/>
        <v>200000</v>
      </c>
      <c r="K799">
        <f>J799*0.76</f>
        <v>152000</v>
      </c>
      <c r="L799">
        <f t="shared" si="25"/>
        <v>48000</v>
      </c>
    </row>
    <row r="800" spans="1:12" x14ac:dyDescent="0.3">
      <c r="A800" t="s">
        <v>857</v>
      </c>
      <c r="B800" s="2">
        <v>45989</v>
      </c>
      <c r="C800" t="s">
        <v>32</v>
      </c>
      <c r="D800" t="s">
        <v>39</v>
      </c>
      <c r="E800" t="s">
        <v>15</v>
      </c>
      <c r="F800" t="s">
        <v>21</v>
      </c>
      <c r="G800" t="s">
        <v>65</v>
      </c>
      <c r="H800">
        <v>16</v>
      </c>
      <c r="I800">
        <v>22000</v>
      </c>
      <c r="J800">
        <f t="shared" si="24"/>
        <v>352000</v>
      </c>
      <c r="K800">
        <f>J800*0.7</f>
        <v>246399.99999999997</v>
      </c>
      <c r="L800">
        <f t="shared" si="25"/>
        <v>105600.00000000003</v>
      </c>
    </row>
    <row r="801" spans="1:12" x14ac:dyDescent="0.3">
      <c r="A801" t="s">
        <v>858</v>
      </c>
      <c r="B801" s="2">
        <v>45750</v>
      </c>
      <c r="C801" t="s">
        <v>59</v>
      </c>
      <c r="D801" t="s">
        <v>14</v>
      </c>
      <c r="E801" t="s">
        <v>15</v>
      </c>
      <c r="F801" t="s">
        <v>21</v>
      </c>
      <c r="G801" t="s">
        <v>65</v>
      </c>
      <c r="H801">
        <v>17</v>
      </c>
      <c r="I801">
        <v>22000</v>
      </c>
      <c r="J801">
        <f t="shared" si="24"/>
        <v>374000</v>
      </c>
      <c r="K801">
        <f>J801*0.8</f>
        <v>299200</v>
      </c>
      <c r="L801">
        <f t="shared" si="25"/>
        <v>74800</v>
      </c>
    </row>
    <row r="802" spans="1:12" x14ac:dyDescent="0.3">
      <c r="A802" t="s">
        <v>859</v>
      </c>
      <c r="B802" s="2">
        <v>45884</v>
      </c>
      <c r="C802" t="s">
        <v>57</v>
      </c>
      <c r="D802" t="s">
        <v>72</v>
      </c>
      <c r="E802" t="s">
        <v>30</v>
      </c>
      <c r="F802" t="s">
        <v>26</v>
      </c>
      <c r="G802" t="s">
        <v>69</v>
      </c>
      <c r="H802">
        <v>6</v>
      </c>
      <c r="I802">
        <v>2500</v>
      </c>
      <c r="J802">
        <f t="shared" si="24"/>
        <v>15000</v>
      </c>
      <c r="K802">
        <f>J802*0.73</f>
        <v>10950</v>
      </c>
      <c r="L802">
        <f t="shared" si="25"/>
        <v>4050</v>
      </c>
    </row>
    <row r="803" spans="1:12" x14ac:dyDescent="0.3">
      <c r="A803" t="s">
        <v>860</v>
      </c>
      <c r="B803" s="2">
        <v>45756</v>
      </c>
      <c r="C803" t="s">
        <v>59</v>
      </c>
      <c r="D803" t="s">
        <v>64</v>
      </c>
      <c r="E803" t="s">
        <v>15</v>
      </c>
      <c r="F803" t="s">
        <v>16</v>
      </c>
      <c r="G803" t="s">
        <v>36</v>
      </c>
      <c r="H803">
        <v>6</v>
      </c>
      <c r="I803">
        <v>150</v>
      </c>
      <c r="J803">
        <f t="shared" si="24"/>
        <v>900</v>
      </c>
      <c r="K803">
        <f>J803*0.75</f>
        <v>675</v>
      </c>
      <c r="L803">
        <f t="shared" si="25"/>
        <v>225</v>
      </c>
    </row>
    <row r="804" spans="1:12" x14ac:dyDescent="0.3">
      <c r="A804" t="s">
        <v>861</v>
      </c>
      <c r="B804" s="2">
        <v>46016</v>
      </c>
      <c r="C804" t="s">
        <v>24</v>
      </c>
      <c r="D804" t="s">
        <v>51</v>
      </c>
      <c r="E804" t="s">
        <v>30</v>
      </c>
      <c r="F804" t="s">
        <v>16</v>
      </c>
      <c r="G804" t="s">
        <v>36</v>
      </c>
      <c r="H804">
        <v>14</v>
      </c>
      <c r="I804">
        <v>150</v>
      </c>
      <c r="J804">
        <f t="shared" si="24"/>
        <v>2100</v>
      </c>
      <c r="K804">
        <f>J804*0.82</f>
        <v>1722</v>
      </c>
      <c r="L804">
        <f t="shared" si="25"/>
        <v>378</v>
      </c>
    </row>
    <row r="805" spans="1:12" x14ac:dyDescent="0.3">
      <c r="A805" t="s">
        <v>862</v>
      </c>
      <c r="B805" s="2">
        <v>45939</v>
      </c>
      <c r="C805" t="s">
        <v>38</v>
      </c>
      <c r="D805" t="s">
        <v>86</v>
      </c>
      <c r="E805" t="s">
        <v>15</v>
      </c>
      <c r="F805" t="s">
        <v>26</v>
      </c>
      <c r="G805" t="s">
        <v>27</v>
      </c>
      <c r="H805">
        <v>14</v>
      </c>
      <c r="I805">
        <v>45000</v>
      </c>
      <c r="J805">
        <f t="shared" si="24"/>
        <v>630000</v>
      </c>
      <c r="K805">
        <f>J805*0.75</f>
        <v>472500</v>
      </c>
      <c r="L805">
        <f t="shared" si="25"/>
        <v>157500</v>
      </c>
    </row>
    <row r="806" spans="1:12" x14ac:dyDescent="0.3">
      <c r="A806" t="s">
        <v>863</v>
      </c>
      <c r="B806" s="2">
        <v>45661</v>
      </c>
      <c r="C806" t="s">
        <v>29</v>
      </c>
      <c r="D806" t="s">
        <v>33</v>
      </c>
      <c r="E806" t="s">
        <v>35</v>
      </c>
      <c r="F806" t="s">
        <v>26</v>
      </c>
      <c r="G806" t="s">
        <v>52</v>
      </c>
      <c r="H806">
        <v>16</v>
      </c>
      <c r="I806">
        <v>35000</v>
      </c>
      <c r="J806">
        <f t="shared" si="24"/>
        <v>560000</v>
      </c>
      <c r="K806">
        <f>J806*0.73</f>
        <v>408800</v>
      </c>
      <c r="L806">
        <f t="shared" si="25"/>
        <v>151200</v>
      </c>
    </row>
    <row r="807" spans="1:12" x14ac:dyDescent="0.3">
      <c r="A807" t="s">
        <v>864</v>
      </c>
      <c r="B807" s="2">
        <v>45907</v>
      </c>
      <c r="C807" t="s">
        <v>13</v>
      </c>
      <c r="D807" t="s">
        <v>39</v>
      </c>
      <c r="E807" t="s">
        <v>30</v>
      </c>
      <c r="F807" t="s">
        <v>21</v>
      </c>
      <c r="G807" t="s">
        <v>40</v>
      </c>
      <c r="H807">
        <v>5</v>
      </c>
      <c r="I807">
        <v>5000</v>
      </c>
      <c r="J807">
        <f t="shared" si="24"/>
        <v>25000</v>
      </c>
      <c r="K807">
        <f>J807*0.71</f>
        <v>17750</v>
      </c>
      <c r="L807">
        <f t="shared" si="25"/>
        <v>7250</v>
      </c>
    </row>
    <row r="808" spans="1:12" x14ac:dyDescent="0.3">
      <c r="A808" t="s">
        <v>865</v>
      </c>
      <c r="B808" s="2">
        <v>45747</v>
      </c>
      <c r="C808" t="s">
        <v>63</v>
      </c>
      <c r="D808" t="s">
        <v>39</v>
      </c>
      <c r="E808" t="s">
        <v>30</v>
      </c>
      <c r="F808" t="s">
        <v>16</v>
      </c>
      <c r="G808" t="s">
        <v>92</v>
      </c>
      <c r="H808">
        <v>4</v>
      </c>
      <c r="I808">
        <v>1200</v>
      </c>
      <c r="J808">
        <f t="shared" si="24"/>
        <v>4800</v>
      </c>
      <c r="K808">
        <f>J808*0.81</f>
        <v>3888.0000000000005</v>
      </c>
      <c r="L808">
        <f t="shared" si="25"/>
        <v>911.99999999999955</v>
      </c>
    </row>
    <row r="809" spans="1:12" x14ac:dyDescent="0.3">
      <c r="A809" t="s">
        <v>866</v>
      </c>
      <c r="B809" s="2">
        <v>45929</v>
      </c>
      <c r="C809" t="s">
        <v>13</v>
      </c>
      <c r="D809" t="s">
        <v>72</v>
      </c>
      <c r="E809" t="s">
        <v>30</v>
      </c>
      <c r="F809" t="s">
        <v>21</v>
      </c>
      <c r="G809" t="s">
        <v>40</v>
      </c>
      <c r="H809">
        <v>18</v>
      </c>
      <c r="I809">
        <v>5000</v>
      </c>
      <c r="J809">
        <f t="shared" si="24"/>
        <v>90000</v>
      </c>
      <c r="K809">
        <f>J809*0.79</f>
        <v>71100</v>
      </c>
      <c r="L809">
        <f t="shared" si="25"/>
        <v>18900</v>
      </c>
    </row>
    <row r="810" spans="1:12" x14ac:dyDescent="0.3">
      <c r="A810" t="s">
        <v>867</v>
      </c>
      <c r="B810" s="2">
        <v>45912</v>
      </c>
      <c r="C810" t="s">
        <v>13</v>
      </c>
      <c r="D810" t="s">
        <v>14</v>
      </c>
      <c r="E810" t="s">
        <v>15</v>
      </c>
      <c r="F810" t="s">
        <v>16</v>
      </c>
      <c r="G810" t="s">
        <v>60</v>
      </c>
      <c r="H810">
        <v>18</v>
      </c>
      <c r="I810">
        <v>250</v>
      </c>
      <c r="J810">
        <f t="shared" si="24"/>
        <v>4500</v>
      </c>
      <c r="K810">
        <f>J810*0.71</f>
        <v>3195</v>
      </c>
      <c r="L810">
        <f t="shared" si="25"/>
        <v>1305</v>
      </c>
    </row>
    <row r="811" spans="1:12" x14ac:dyDescent="0.3">
      <c r="A811" t="s">
        <v>868</v>
      </c>
      <c r="B811" s="2">
        <v>45844</v>
      </c>
      <c r="C811" t="s">
        <v>76</v>
      </c>
      <c r="D811" t="s">
        <v>14</v>
      </c>
      <c r="E811" t="s">
        <v>35</v>
      </c>
      <c r="F811" t="s">
        <v>21</v>
      </c>
      <c r="G811" t="s">
        <v>40</v>
      </c>
      <c r="H811">
        <v>11</v>
      </c>
      <c r="I811">
        <v>5000</v>
      </c>
      <c r="J811">
        <f t="shared" si="24"/>
        <v>55000</v>
      </c>
      <c r="K811">
        <f>J811*0.79</f>
        <v>43450</v>
      </c>
      <c r="L811">
        <f t="shared" si="25"/>
        <v>11550</v>
      </c>
    </row>
    <row r="812" spans="1:12" x14ac:dyDescent="0.3">
      <c r="A812" t="s">
        <v>869</v>
      </c>
      <c r="B812" s="2">
        <v>45723</v>
      </c>
      <c r="C812" t="s">
        <v>63</v>
      </c>
      <c r="D812" t="s">
        <v>64</v>
      </c>
      <c r="E812" t="s">
        <v>20</v>
      </c>
      <c r="F812" t="s">
        <v>16</v>
      </c>
      <c r="G812" t="s">
        <v>60</v>
      </c>
      <c r="H812">
        <v>14</v>
      </c>
      <c r="I812">
        <v>250</v>
      </c>
      <c r="J812">
        <f t="shared" si="24"/>
        <v>3500</v>
      </c>
      <c r="K812">
        <f>J812*0.74</f>
        <v>2590</v>
      </c>
      <c r="L812">
        <f t="shared" si="25"/>
        <v>910</v>
      </c>
    </row>
    <row r="813" spans="1:12" x14ac:dyDescent="0.3">
      <c r="A813" t="s">
        <v>870</v>
      </c>
      <c r="B813" s="2">
        <v>45781</v>
      </c>
      <c r="C813" t="s">
        <v>48</v>
      </c>
      <c r="D813" t="s">
        <v>25</v>
      </c>
      <c r="E813" t="s">
        <v>15</v>
      </c>
      <c r="F813" t="s">
        <v>16</v>
      </c>
      <c r="G813" t="s">
        <v>60</v>
      </c>
      <c r="H813">
        <v>15</v>
      </c>
      <c r="I813">
        <v>250</v>
      </c>
      <c r="J813">
        <f t="shared" si="24"/>
        <v>3750</v>
      </c>
      <c r="K813">
        <f>J813*0.82</f>
        <v>3075</v>
      </c>
      <c r="L813">
        <f t="shared" si="25"/>
        <v>675</v>
      </c>
    </row>
    <row r="814" spans="1:12" x14ac:dyDescent="0.3">
      <c r="A814" t="s">
        <v>871</v>
      </c>
      <c r="B814" s="2">
        <v>45923</v>
      </c>
      <c r="C814" t="s">
        <v>13</v>
      </c>
      <c r="D814" t="s">
        <v>33</v>
      </c>
      <c r="E814" t="s">
        <v>30</v>
      </c>
      <c r="F814" t="s">
        <v>16</v>
      </c>
      <c r="G814" t="s">
        <v>60</v>
      </c>
      <c r="H814">
        <v>17</v>
      </c>
      <c r="I814">
        <v>250</v>
      </c>
      <c r="J814">
        <f t="shared" si="24"/>
        <v>4250</v>
      </c>
      <c r="K814">
        <f>J814*0.71</f>
        <v>3017.5</v>
      </c>
      <c r="L814">
        <f t="shared" si="25"/>
        <v>1232.5</v>
      </c>
    </row>
    <row r="815" spans="1:12" x14ac:dyDescent="0.3">
      <c r="A815" t="s">
        <v>872</v>
      </c>
      <c r="B815" s="2">
        <v>45944</v>
      </c>
      <c r="C815" t="s">
        <v>38</v>
      </c>
      <c r="D815" t="s">
        <v>33</v>
      </c>
      <c r="E815" t="s">
        <v>46</v>
      </c>
      <c r="F815" t="s">
        <v>21</v>
      </c>
      <c r="G815" t="s">
        <v>65</v>
      </c>
      <c r="H815">
        <v>14</v>
      </c>
      <c r="I815">
        <v>22000</v>
      </c>
      <c r="J815">
        <f t="shared" si="24"/>
        <v>308000</v>
      </c>
      <c r="K815">
        <f>J815*0.75</f>
        <v>231000</v>
      </c>
      <c r="L815">
        <f t="shared" si="25"/>
        <v>77000</v>
      </c>
    </row>
    <row r="816" spans="1:12" x14ac:dyDescent="0.3">
      <c r="A816" t="s">
        <v>873</v>
      </c>
      <c r="B816" s="2">
        <v>45771</v>
      </c>
      <c r="C816" t="s">
        <v>59</v>
      </c>
      <c r="D816" t="s">
        <v>64</v>
      </c>
      <c r="E816" t="s">
        <v>46</v>
      </c>
      <c r="F816" t="s">
        <v>16</v>
      </c>
      <c r="G816" t="s">
        <v>78</v>
      </c>
      <c r="H816">
        <v>4</v>
      </c>
      <c r="I816">
        <v>800</v>
      </c>
      <c r="J816">
        <f t="shared" si="24"/>
        <v>3200</v>
      </c>
      <c r="K816">
        <f>J816*0.77</f>
        <v>2464</v>
      </c>
      <c r="L816">
        <f t="shared" si="25"/>
        <v>736</v>
      </c>
    </row>
    <row r="817" spans="1:12" x14ac:dyDescent="0.3">
      <c r="A817" t="s">
        <v>874</v>
      </c>
      <c r="B817" s="2">
        <v>45981</v>
      </c>
      <c r="C817" t="s">
        <v>32</v>
      </c>
      <c r="D817" t="s">
        <v>19</v>
      </c>
      <c r="E817" t="s">
        <v>20</v>
      </c>
      <c r="F817" t="s">
        <v>26</v>
      </c>
      <c r="G817" t="s">
        <v>44</v>
      </c>
      <c r="H817">
        <v>4</v>
      </c>
      <c r="I817">
        <v>25000</v>
      </c>
      <c r="J817">
        <f t="shared" si="24"/>
        <v>100000</v>
      </c>
      <c r="K817">
        <f>J817*0.76</f>
        <v>76000</v>
      </c>
      <c r="L817">
        <f t="shared" si="25"/>
        <v>24000</v>
      </c>
    </row>
    <row r="818" spans="1:12" x14ac:dyDescent="0.3">
      <c r="A818" t="s">
        <v>875</v>
      </c>
      <c r="B818" s="2">
        <v>45959</v>
      </c>
      <c r="C818" t="s">
        <v>38</v>
      </c>
      <c r="D818" t="s">
        <v>83</v>
      </c>
      <c r="E818" t="s">
        <v>35</v>
      </c>
      <c r="F818" t="s">
        <v>26</v>
      </c>
      <c r="G818" t="s">
        <v>94</v>
      </c>
      <c r="H818">
        <v>12</v>
      </c>
      <c r="I818">
        <v>28000</v>
      </c>
      <c r="J818">
        <f t="shared" si="24"/>
        <v>336000</v>
      </c>
      <c r="K818">
        <f>J818*0.7</f>
        <v>235199.99999999997</v>
      </c>
      <c r="L818">
        <f t="shared" si="25"/>
        <v>100800.00000000003</v>
      </c>
    </row>
    <row r="819" spans="1:12" x14ac:dyDescent="0.3">
      <c r="A819" t="s">
        <v>876</v>
      </c>
      <c r="B819" s="2">
        <v>45746</v>
      </c>
      <c r="C819" t="s">
        <v>63</v>
      </c>
      <c r="D819" t="s">
        <v>39</v>
      </c>
      <c r="E819" t="s">
        <v>15</v>
      </c>
      <c r="F819" t="s">
        <v>16</v>
      </c>
      <c r="G819" t="s">
        <v>17</v>
      </c>
      <c r="H819">
        <v>14</v>
      </c>
      <c r="I819">
        <v>300</v>
      </c>
      <c r="J819">
        <f t="shared" si="24"/>
        <v>4200</v>
      </c>
      <c r="K819">
        <f>J819*0.73</f>
        <v>3066</v>
      </c>
      <c r="L819">
        <f t="shared" si="25"/>
        <v>1134</v>
      </c>
    </row>
    <row r="820" spans="1:12" x14ac:dyDescent="0.3">
      <c r="A820" t="s">
        <v>877</v>
      </c>
      <c r="B820" s="2">
        <v>45675</v>
      </c>
      <c r="C820" t="s">
        <v>29</v>
      </c>
      <c r="D820" t="s">
        <v>51</v>
      </c>
      <c r="E820" t="s">
        <v>20</v>
      </c>
      <c r="F820" t="s">
        <v>16</v>
      </c>
      <c r="G820" t="s">
        <v>78</v>
      </c>
      <c r="H820">
        <v>17</v>
      </c>
      <c r="I820">
        <v>800</v>
      </c>
      <c r="J820">
        <f t="shared" si="24"/>
        <v>13600</v>
      </c>
      <c r="K820">
        <f>J820*0.79</f>
        <v>10744</v>
      </c>
      <c r="L820">
        <f t="shared" si="25"/>
        <v>2856</v>
      </c>
    </row>
    <row r="821" spans="1:12" x14ac:dyDescent="0.3">
      <c r="A821" t="s">
        <v>878</v>
      </c>
      <c r="B821" s="2">
        <v>46001</v>
      </c>
      <c r="C821" t="s">
        <v>24</v>
      </c>
      <c r="D821" t="s">
        <v>14</v>
      </c>
      <c r="E821" t="s">
        <v>30</v>
      </c>
      <c r="F821" t="s">
        <v>16</v>
      </c>
      <c r="G821" t="s">
        <v>17</v>
      </c>
      <c r="H821">
        <v>2</v>
      </c>
      <c r="I821">
        <v>300</v>
      </c>
      <c r="J821">
        <f t="shared" si="24"/>
        <v>600</v>
      </c>
      <c r="K821">
        <f>J821*0.81</f>
        <v>486.00000000000006</v>
      </c>
      <c r="L821">
        <f t="shared" si="25"/>
        <v>113.99999999999994</v>
      </c>
    </row>
    <row r="822" spans="1:12" x14ac:dyDescent="0.3">
      <c r="A822" t="s">
        <v>879</v>
      </c>
      <c r="B822" s="2">
        <v>45793</v>
      </c>
      <c r="C822" t="s">
        <v>48</v>
      </c>
      <c r="D822" t="s">
        <v>25</v>
      </c>
      <c r="E822" t="s">
        <v>35</v>
      </c>
      <c r="F822" t="s">
        <v>26</v>
      </c>
      <c r="G822" t="s">
        <v>44</v>
      </c>
      <c r="H822">
        <v>20</v>
      </c>
      <c r="I822">
        <v>25000</v>
      </c>
      <c r="J822">
        <f t="shared" si="24"/>
        <v>500000</v>
      </c>
      <c r="K822">
        <f>J822*0.78</f>
        <v>390000</v>
      </c>
      <c r="L822">
        <f t="shared" si="25"/>
        <v>110000</v>
      </c>
    </row>
    <row r="823" spans="1:12" x14ac:dyDescent="0.3">
      <c r="A823" t="s">
        <v>880</v>
      </c>
      <c r="B823" s="2">
        <v>45732</v>
      </c>
      <c r="C823" t="s">
        <v>63</v>
      </c>
      <c r="D823" t="s">
        <v>64</v>
      </c>
      <c r="E823" t="s">
        <v>46</v>
      </c>
      <c r="F823" t="s">
        <v>21</v>
      </c>
      <c r="G823" t="s">
        <v>22</v>
      </c>
      <c r="H823">
        <v>5</v>
      </c>
      <c r="I823">
        <v>15000</v>
      </c>
      <c r="J823">
        <f t="shared" si="24"/>
        <v>75000</v>
      </c>
      <c r="K823">
        <f>J823*0.81</f>
        <v>60750.000000000007</v>
      </c>
      <c r="L823">
        <f t="shared" si="25"/>
        <v>14249.999999999993</v>
      </c>
    </row>
    <row r="824" spans="1:12" x14ac:dyDescent="0.3">
      <c r="A824" t="s">
        <v>881</v>
      </c>
      <c r="B824" s="2">
        <v>45675</v>
      </c>
      <c r="C824" t="s">
        <v>29</v>
      </c>
      <c r="D824" t="s">
        <v>19</v>
      </c>
      <c r="E824" t="s">
        <v>35</v>
      </c>
      <c r="F824" t="s">
        <v>16</v>
      </c>
      <c r="G824" t="s">
        <v>17</v>
      </c>
      <c r="H824">
        <v>20</v>
      </c>
      <c r="I824">
        <v>300</v>
      </c>
      <c r="J824">
        <f t="shared" si="24"/>
        <v>6000</v>
      </c>
      <c r="K824">
        <f>J824*0.77</f>
        <v>4620</v>
      </c>
      <c r="L824">
        <f t="shared" si="25"/>
        <v>1380</v>
      </c>
    </row>
    <row r="825" spans="1:12" x14ac:dyDescent="0.3">
      <c r="A825" t="s">
        <v>882</v>
      </c>
      <c r="B825" s="2">
        <v>45988</v>
      </c>
      <c r="C825" t="s">
        <v>32</v>
      </c>
      <c r="D825" t="s">
        <v>19</v>
      </c>
      <c r="E825" t="s">
        <v>46</v>
      </c>
      <c r="F825" t="s">
        <v>26</v>
      </c>
      <c r="G825" t="s">
        <v>44</v>
      </c>
      <c r="H825">
        <v>19</v>
      </c>
      <c r="I825">
        <v>25000</v>
      </c>
      <c r="J825">
        <f t="shared" si="24"/>
        <v>475000</v>
      </c>
      <c r="K825">
        <f>J825*0.7</f>
        <v>332500</v>
      </c>
      <c r="L825">
        <f t="shared" si="25"/>
        <v>142500</v>
      </c>
    </row>
    <row r="826" spans="1:12" x14ac:dyDescent="0.3">
      <c r="A826" t="s">
        <v>883</v>
      </c>
      <c r="B826" s="2">
        <v>45870</v>
      </c>
      <c r="C826" t="s">
        <v>57</v>
      </c>
      <c r="D826" t="s">
        <v>64</v>
      </c>
      <c r="E826" t="s">
        <v>30</v>
      </c>
      <c r="F826" t="s">
        <v>26</v>
      </c>
      <c r="G826" t="s">
        <v>127</v>
      </c>
      <c r="H826">
        <v>4</v>
      </c>
      <c r="I826">
        <v>1500</v>
      </c>
      <c r="J826">
        <f t="shared" si="24"/>
        <v>6000</v>
      </c>
      <c r="K826">
        <f>J826*0.78</f>
        <v>4680</v>
      </c>
      <c r="L826">
        <f t="shared" si="25"/>
        <v>1320</v>
      </c>
    </row>
    <row r="827" spans="1:12" x14ac:dyDescent="0.3">
      <c r="A827" t="s">
        <v>884</v>
      </c>
      <c r="B827" s="2">
        <v>45667</v>
      </c>
      <c r="C827" t="s">
        <v>29</v>
      </c>
      <c r="D827" t="s">
        <v>64</v>
      </c>
      <c r="E827" t="s">
        <v>46</v>
      </c>
      <c r="F827" t="s">
        <v>21</v>
      </c>
      <c r="G827" t="s">
        <v>54</v>
      </c>
      <c r="H827">
        <v>8</v>
      </c>
      <c r="I827">
        <v>18000</v>
      </c>
      <c r="J827">
        <f t="shared" si="24"/>
        <v>144000</v>
      </c>
      <c r="K827">
        <f>J827*0.81</f>
        <v>116640.00000000001</v>
      </c>
      <c r="L827">
        <f t="shared" si="25"/>
        <v>27359.999999999985</v>
      </c>
    </row>
    <row r="828" spans="1:12" x14ac:dyDescent="0.3">
      <c r="A828" t="s">
        <v>885</v>
      </c>
      <c r="B828" s="2">
        <v>45758</v>
      </c>
      <c r="C828" t="s">
        <v>59</v>
      </c>
      <c r="D828" t="s">
        <v>83</v>
      </c>
      <c r="E828" t="s">
        <v>30</v>
      </c>
      <c r="F828" t="s">
        <v>21</v>
      </c>
      <c r="G828" t="s">
        <v>65</v>
      </c>
      <c r="H828">
        <v>9</v>
      </c>
      <c r="I828">
        <v>22000</v>
      </c>
      <c r="J828">
        <f t="shared" si="24"/>
        <v>198000</v>
      </c>
      <c r="K828">
        <f>J828*0.85</f>
        <v>168300</v>
      </c>
      <c r="L828">
        <f t="shared" si="25"/>
        <v>29700</v>
      </c>
    </row>
    <row r="829" spans="1:12" x14ac:dyDescent="0.3">
      <c r="A829" t="s">
        <v>886</v>
      </c>
      <c r="B829" s="2">
        <v>45792</v>
      </c>
      <c r="C829" t="s">
        <v>48</v>
      </c>
      <c r="D829" t="s">
        <v>25</v>
      </c>
      <c r="E829" t="s">
        <v>30</v>
      </c>
      <c r="F829" t="s">
        <v>16</v>
      </c>
      <c r="G829" t="s">
        <v>17</v>
      </c>
      <c r="H829">
        <v>2</v>
      </c>
      <c r="I829">
        <v>300</v>
      </c>
      <c r="J829">
        <f t="shared" si="24"/>
        <v>600</v>
      </c>
      <c r="K829">
        <f>J829*0.7</f>
        <v>420</v>
      </c>
      <c r="L829">
        <f t="shared" si="25"/>
        <v>180</v>
      </c>
    </row>
    <row r="830" spans="1:12" x14ac:dyDescent="0.3">
      <c r="A830" t="s">
        <v>887</v>
      </c>
      <c r="B830" s="2">
        <v>45846</v>
      </c>
      <c r="C830" t="s">
        <v>76</v>
      </c>
      <c r="D830" t="s">
        <v>86</v>
      </c>
      <c r="E830" t="s">
        <v>15</v>
      </c>
      <c r="F830" t="s">
        <v>21</v>
      </c>
      <c r="G830" t="s">
        <v>65</v>
      </c>
      <c r="H830">
        <v>7</v>
      </c>
      <c r="I830">
        <v>22000</v>
      </c>
      <c r="J830">
        <f t="shared" si="24"/>
        <v>154000</v>
      </c>
      <c r="K830">
        <f>J830*0.73</f>
        <v>112420</v>
      </c>
      <c r="L830">
        <f t="shared" si="25"/>
        <v>41580</v>
      </c>
    </row>
    <row r="831" spans="1:12" x14ac:dyDescent="0.3">
      <c r="A831" t="s">
        <v>888</v>
      </c>
      <c r="B831" s="2">
        <v>45845</v>
      </c>
      <c r="C831" t="s">
        <v>76</v>
      </c>
      <c r="D831" t="s">
        <v>51</v>
      </c>
      <c r="E831" t="s">
        <v>46</v>
      </c>
      <c r="F831" t="s">
        <v>26</v>
      </c>
      <c r="G831" t="s">
        <v>52</v>
      </c>
      <c r="H831">
        <v>12</v>
      </c>
      <c r="I831">
        <v>35000</v>
      </c>
      <c r="J831">
        <f t="shared" si="24"/>
        <v>420000</v>
      </c>
      <c r="K831">
        <f>J831*0.77</f>
        <v>323400</v>
      </c>
      <c r="L831">
        <f t="shared" si="25"/>
        <v>96600</v>
      </c>
    </row>
    <row r="832" spans="1:12" x14ac:dyDescent="0.3">
      <c r="A832" t="s">
        <v>889</v>
      </c>
      <c r="B832" s="2">
        <v>45880</v>
      </c>
      <c r="C832" t="s">
        <v>57</v>
      </c>
      <c r="D832" t="s">
        <v>86</v>
      </c>
      <c r="E832" t="s">
        <v>35</v>
      </c>
      <c r="F832" t="s">
        <v>21</v>
      </c>
      <c r="G832" t="s">
        <v>22</v>
      </c>
      <c r="H832">
        <v>20</v>
      </c>
      <c r="I832">
        <v>15000</v>
      </c>
      <c r="J832">
        <f t="shared" si="24"/>
        <v>300000</v>
      </c>
      <c r="K832">
        <f>J832*0.8</f>
        <v>240000</v>
      </c>
      <c r="L832">
        <f t="shared" si="25"/>
        <v>60000</v>
      </c>
    </row>
    <row r="833" spans="1:12" x14ac:dyDescent="0.3">
      <c r="A833" t="s">
        <v>890</v>
      </c>
      <c r="B833" s="2">
        <v>45928</v>
      </c>
      <c r="C833" t="s">
        <v>13</v>
      </c>
      <c r="D833" t="s">
        <v>39</v>
      </c>
      <c r="E833" t="s">
        <v>15</v>
      </c>
      <c r="F833" t="s">
        <v>21</v>
      </c>
      <c r="G833" t="s">
        <v>40</v>
      </c>
      <c r="H833">
        <v>3</v>
      </c>
      <c r="I833">
        <v>5000</v>
      </c>
      <c r="J833">
        <f t="shared" si="24"/>
        <v>15000</v>
      </c>
      <c r="K833">
        <f>J833*0.81</f>
        <v>12150</v>
      </c>
      <c r="L833">
        <f t="shared" si="25"/>
        <v>2850</v>
      </c>
    </row>
    <row r="834" spans="1:12" x14ac:dyDescent="0.3">
      <c r="A834" t="s">
        <v>891</v>
      </c>
      <c r="B834" s="2">
        <v>46019</v>
      </c>
      <c r="C834" t="s">
        <v>24</v>
      </c>
      <c r="D834" t="s">
        <v>72</v>
      </c>
      <c r="E834" t="s">
        <v>30</v>
      </c>
      <c r="F834" t="s">
        <v>16</v>
      </c>
      <c r="G834" t="s">
        <v>92</v>
      </c>
      <c r="H834">
        <v>20</v>
      </c>
      <c r="I834">
        <v>1200</v>
      </c>
      <c r="J834">
        <f t="shared" ref="J834:J897" si="26">H834*I834</f>
        <v>24000</v>
      </c>
      <c r="K834">
        <f>J834*0.73</f>
        <v>17520</v>
      </c>
      <c r="L834">
        <f t="shared" ref="L834:L897" si="27">J834-K834</f>
        <v>6480</v>
      </c>
    </row>
    <row r="835" spans="1:12" x14ac:dyDescent="0.3">
      <c r="A835" t="s">
        <v>892</v>
      </c>
      <c r="B835" s="2">
        <v>45963</v>
      </c>
      <c r="C835" t="s">
        <v>32</v>
      </c>
      <c r="D835" t="s">
        <v>25</v>
      </c>
      <c r="E835" t="s">
        <v>15</v>
      </c>
      <c r="F835" t="s">
        <v>21</v>
      </c>
      <c r="G835" t="s">
        <v>74</v>
      </c>
      <c r="H835">
        <v>15</v>
      </c>
      <c r="I835">
        <v>12000</v>
      </c>
      <c r="J835">
        <f t="shared" si="26"/>
        <v>180000</v>
      </c>
      <c r="K835">
        <f>J835*0.79</f>
        <v>142200</v>
      </c>
      <c r="L835">
        <f t="shared" si="27"/>
        <v>37800</v>
      </c>
    </row>
    <row r="836" spans="1:12" x14ac:dyDescent="0.3">
      <c r="A836" t="s">
        <v>893</v>
      </c>
      <c r="B836" s="2">
        <v>45675</v>
      </c>
      <c r="C836" t="s">
        <v>29</v>
      </c>
      <c r="D836" t="s">
        <v>83</v>
      </c>
      <c r="E836" t="s">
        <v>46</v>
      </c>
      <c r="F836" t="s">
        <v>16</v>
      </c>
      <c r="G836" t="s">
        <v>78</v>
      </c>
      <c r="H836">
        <v>12</v>
      </c>
      <c r="I836">
        <v>800</v>
      </c>
      <c r="J836">
        <f t="shared" si="26"/>
        <v>9600</v>
      </c>
      <c r="K836">
        <f>J836*0.79</f>
        <v>7584</v>
      </c>
      <c r="L836">
        <f t="shared" si="27"/>
        <v>2016</v>
      </c>
    </row>
    <row r="837" spans="1:12" x14ac:dyDescent="0.3">
      <c r="A837" t="s">
        <v>894</v>
      </c>
      <c r="B837" s="2">
        <v>45934</v>
      </c>
      <c r="C837" t="s">
        <v>38</v>
      </c>
      <c r="D837" t="s">
        <v>51</v>
      </c>
      <c r="E837" t="s">
        <v>35</v>
      </c>
      <c r="F837" t="s">
        <v>16</v>
      </c>
      <c r="G837" t="s">
        <v>17</v>
      </c>
      <c r="H837">
        <v>15</v>
      </c>
      <c r="I837">
        <v>300</v>
      </c>
      <c r="J837">
        <f t="shared" si="26"/>
        <v>4500</v>
      </c>
      <c r="K837">
        <f>J837*0.74</f>
        <v>3330</v>
      </c>
      <c r="L837">
        <f t="shared" si="27"/>
        <v>1170</v>
      </c>
    </row>
    <row r="838" spans="1:12" x14ac:dyDescent="0.3">
      <c r="A838" t="s">
        <v>895</v>
      </c>
      <c r="B838" s="2">
        <v>45774</v>
      </c>
      <c r="C838" t="s">
        <v>59</v>
      </c>
      <c r="D838" t="s">
        <v>33</v>
      </c>
      <c r="E838" t="s">
        <v>20</v>
      </c>
      <c r="F838" t="s">
        <v>26</v>
      </c>
      <c r="G838" t="s">
        <v>27</v>
      </c>
      <c r="H838">
        <v>19</v>
      </c>
      <c r="I838">
        <v>45000</v>
      </c>
      <c r="J838">
        <f t="shared" si="26"/>
        <v>855000</v>
      </c>
      <c r="K838">
        <f>J838*0.72</f>
        <v>615600</v>
      </c>
      <c r="L838">
        <f t="shared" si="27"/>
        <v>239400</v>
      </c>
    </row>
    <row r="839" spans="1:12" x14ac:dyDescent="0.3">
      <c r="A839" t="s">
        <v>896</v>
      </c>
      <c r="B839" s="2">
        <v>45998</v>
      </c>
      <c r="C839" t="s">
        <v>24</v>
      </c>
      <c r="D839" t="s">
        <v>51</v>
      </c>
      <c r="E839" t="s">
        <v>30</v>
      </c>
      <c r="F839" t="s">
        <v>16</v>
      </c>
      <c r="G839" t="s">
        <v>60</v>
      </c>
      <c r="H839">
        <v>2</v>
      </c>
      <c r="I839">
        <v>250</v>
      </c>
      <c r="J839">
        <f t="shared" si="26"/>
        <v>500</v>
      </c>
      <c r="K839">
        <f>J839*0.84</f>
        <v>420</v>
      </c>
      <c r="L839">
        <f t="shared" si="27"/>
        <v>80</v>
      </c>
    </row>
    <row r="840" spans="1:12" x14ac:dyDescent="0.3">
      <c r="A840" t="s">
        <v>897</v>
      </c>
      <c r="B840" s="2">
        <v>45909</v>
      </c>
      <c r="C840" t="s">
        <v>13</v>
      </c>
      <c r="D840" t="s">
        <v>83</v>
      </c>
      <c r="E840" t="s">
        <v>20</v>
      </c>
      <c r="F840" t="s">
        <v>16</v>
      </c>
      <c r="G840" t="s">
        <v>17</v>
      </c>
      <c r="H840">
        <v>20</v>
      </c>
      <c r="I840">
        <v>300</v>
      </c>
      <c r="J840">
        <f t="shared" si="26"/>
        <v>6000</v>
      </c>
      <c r="K840">
        <f>J840*0.77</f>
        <v>4620</v>
      </c>
      <c r="L840">
        <f t="shared" si="27"/>
        <v>1380</v>
      </c>
    </row>
    <row r="841" spans="1:12" x14ac:dyDescent="0.3">
      <c r="A841" t="s">
        <v>898</v>
      </c>
      <c r="B841" s="2">
        <v>45671</v>
      </c>
      <c r="C841" t="s">
        <v>29</v>
      </c>
      <c r="D841" t="s">
        <v>51</v>
      </c>
      <c r="E841" t="s">
        <v>30</v>
      </c>
      <c r="F841" t="s">
        <v>21</v>
      </c>
      <c r="G841" t="s">
        <v>40</v>
      </c>
      <c r="H841">
        <v>11</v>
      </c>
      <c r="I841">
        <v>5000</v>
      </c>
      <c r="J841">
        <f t="shared" si="26"/>
        <v>55000</v>
      </c>
      <c r="K841">
        <f>J841*0.77</f>
        <v>42350</v>
      </c>
      <c r="L841">
        <f t="shared" si="27"/>
        <v>12650</v>
      </c>
    </row>
    <row r="842" spans="1:12" x14ac:dyDescent="0.3">
      <c r="A842" t="s">
        <v>899</v>
      </c>
      <c r="B842" s="2">
        <v>45894</v>
      </c>
      <c r="C842" t="s">
        <v>57</v>
      </c>
      <c r="D842" t="s">
        <v>33</v>
      </c>
      <c r="E842" t="s">
        <v>35</v>
      </c>
      <c r="F842" t="s">
        <v>21</v>
      </c>
      <c r="G842" t="s">
        <v>40</v>
      </c>
      <c r="H842">
        <v>10</v>
      </c>
      <c r="I842">
        <v>5000</v>
      </c>
      <c r="J842">
        <f t="shared" si="26"/>
        <v>50000</v>
      </c>
      <c r="K842">
        <f>J842*0.72</f>
        <v>36000</v>
      </c>
      <c r="L842">
        <f t="shared" si="27"/>
        <v>14000</v>
      </c>
    </row>
    <row r="843" spans="1:12" x14ac:dyDescent="0.3">
      <c r="A843" t="s">
        <v>900</v>
      </c>
      <c r="B843" s="2">
        <v>45876</v>
      </c>
      <c r="C843" t="s">
        <v>57</v>
      </c>
      <c r="D843" t="s">
        <v>14</v>
      </c>
      <c r="E843" t="s">
        <v>30</v>
      </c>
      <c r="F843" t="s">
        <v>26</v>
      </c>
      <c r="G843" t="s">
        <v>69</v>
      </c>
      <c r="H843">
        <v>19</v>
      </c>
      <c r="I843">
        <v>2500</v>
      </c>
      <c r="J843">
        <f t="shared" si="26"/>
        <v>47500</v>
      </c>
      <c r="K843">
        <f>J843*0.74</f>
        <v>35150</v>
      </c>
      <c r="L843">
        <f t="shared" si="27"/>
        <v>12350</v>
      </c>
    </row>
    <row r="844" spans="1:12" x14ac:dyDescent="0.3">
      <c r="A844" t="s">
        <v>901</v>
      </c>
      <c r="B844" s="2">
        <v>45848</v>
      </c>
      <c r="C844" t="s">
        <v>76</v>
      </c>
      <c r="D844" t="s">
        <v>51</v>
      </c>
      <c r="E844" t="s">
        <v>30</v>
      </c>
      <c r="F844" t="s">
        <v>21</v>
      </c>
      <c r="G844" t="s">
        <v>65</v>
      </c>
      <c r="H844">
        <v>18</v>
      </c>
      <c r="I844">
        <v>22000</v>
      </c>
      <c r="J844">
        <f t="shared" si="26"/>
        <v>396000</v>
      </c>
      <c r="K844">
        <f>J844*0.74</f>
        <v>293040</v>
      </c>
      <c r="L844">
        <f t="shared" si="27"/>
        <v>102960</v>
      </c>
    </row>
    <row r="845" spans="1:12" x14ac:dyDescent="0.3">
      <c r="A845" t="s">
        <v>902</v>
      </c>
      <c r="B845" s="2">
        <v>45867</v>
      </c>
      <c r="C845" t="s">
        <v>76</v>
      </c>
      <c r="D845" t="s">
        <v>33</v>
      </c>
      <c r="E845" t="s">
        <v>15</v>
      </c>
      <c r="F845" t="s">
        <v>26</v>
      </c>
      <c r="G845" t="s">
        <v>69</v>
      </c>
      <c r="H845">
        <v>7</v>
      </c>
      <c r="I845">
        <v>2500</v>
      </c>
      <c r="J845">
        <f t="shared" si="26"/>
        <v>17500</v>
      </c>
      <c r="K845">
        <f>J845*0.71</f>
        <v>12425</v>
      </c>
      <c r="L845">
        <f t="shared" si="27"/>
        <v>5075</v>
      </c>
    </row>
    <row r="846" spans="1:12" x14ac:dyDescent="0.3">
      <c r="A846" t="s">
        <v>903</v>
      </c>
      <c r="B846" s="2">
        <v>45891</v>
      </c>
      <c r="C846" t="s">
        <v>57</v>
      </c>
      <c r="D846" t="s">
        <v>83</v>
      </c>
      <c r="E846" t="s">
        <v>20</v>
      </c>
      <c r="F846" t="s">
        <v>26</v>
      </c>
      <c r="G846" t="s">
        <v>69</v>
      </c>
      <c r="H846">
        <v>13</v>
      </c>
      <c r="I846">
        <v>2500</v>
      </c>
      <c r="J846">
        <f t="shared" si="26"/>
        <v>32500</v>
      </c>
      <c r="K846">
        <f>J846*0.72</f>
        <v>23400</v>
      </c>
      <c r="L846">
        <f t="shared" si="27"/>
        <v>9100</v>
      </c>
    </row>
    <row r="847" spans="1:12" x14ac:dyDescent="0.3">
      <c r="A847" t="s">
        <v>904</v>
      </c>
      <c r="B847" s="2">
        <v>45990</v>
      </c>
      <c r="C847" t="s">
        <v>32</v>
      </c>
      <c r="D847" t="s">
        <v>33</v>
      </c>
      <c r="E847" t="s">
        <v>20</v>
      </c>
      <c r="F847" t="s">
        <v>16</v>
      </c>
      <c r="G847" t="s">
        <v>36</v>
      </c>
      <c r="H847">
        <v>6</v>
      </c>
      <c r="I847">
        <v>150</v>
      </c>
      <c r="J847">
        <f t="shared" si="26"/>
        <v>900</v>
      </c>
      <c r="K847">
        <f>J847*0.78</f>
        <v>702</v>
      </c>
      <c r="L847">
        <f t="shared" si="27"/>
        <v>198</v>
      </c>
    </row>
    <row r="848" spans="1:12" x14ac:dyDescent="0.3">
      <c r="A848" t="s">
        <v>905</v>
      </c>
      <c r="B848" s="2">
        <v>45971</v>
      </c>
      <c r="C848" t="s">
        <v>32</v>
      </c>
      <c r="D848" t="s">
        <v>83</v>
      </c>
      <c r="E848" t="s">
        <v>20</v>
      </c>
      <c r="F848" t="s">
        <v>21</v>
      </c>
      <c r="G848" t="s">
        <v>65</v>
      </c>
      <c r="H848">
        <v>4</v>
      </c>
      <c r="I848">
        <v>22000</v>
      </c>
      <c r="J848">
        <f t="shared" si="26"/>
        <v>88000</v>
      </c>
      <c r="K848">
        <f>J848*0.75</f>
        <v>66000</v>
      </c>
      <c r="L848">
        <f t="shared" si="27"/>
        <v>22000</v>
      </c>
    </row>
    <row r="849" spans="1:12" x14ac:dyDescent="0.3">
      <c r="A849" t="s">
        <v>906</v>
      </c>
      <c r="B849" s="2">
        <v>45858</v>
      </c>
      <c r="C849" t="s">
        <v>76</v>
      </c>
      <c r="D849" t="s">
        <v>33</v>
      </c>
      <c r="E849" t="s">
        <v>46</v>
      </c>
      <c r="F849" t="s">
        <v>26</v>
      </c>
      <c r="G849" t="s">
        <v>69</v>
      </c>
      <c r="H849">
        <v>2</v>
      </c>
      <c r="I849">
        <v>2500</v>
      </c>
      <c r="J849">
        <f t="shared" si="26"/>
        <v>5000</v>
      </c>
      <c r="K849">
        <f>J849*0.75</f>
        <v>3750</v>
      </c>
      <c r="L849">
        <f t="shared" si="27"/>
        <v>1250</v>
      </c>
    </row>
    <row r="850" spans="1:12" x14ac:dyDescent="0.3">
      <c r="A850" t="s">
        <v>907</v>
      </c>
      <c r="B850" s="2">
        <v>45846</v>
      </c>
      <c r="C850" t="s">
        <v>76</v>
      </c>
      <c r="D850" t="s">
        <v>72</v>
      </c>
      <c r="E850" t="s">
        <v>46</v>
      </c>
      <c r="F850" t="s">
        <v>16</v>
      </c>
      <c r="G850" t="s">
        <v>17</v>
      </c>
      <c r="H850">
        <v>12</v>
      </c>
      <c r="I850">
        <v>300</v>
      </c>
      <c r="J850">
        <f t="shared" si="26"/>
        <v>3600</v>
      </c>
      <c r="K850">
        <f>J850*0.75</f>
        <v>2700</v>
      </c>
      <c r="L850">
        <f t="shared" si="27"/>
        <v>900</v>
      </c>
    </row>
    <row r="851" spans="1:12" x14ac:dyDescent="0.3">
      <c r="A851" t="s">
        <v>908</v>
      </c>
      <c r="B851" s="2">
        <v>45799</v>
      </c>
      <c r="C851" t="s">
        <v>48</v>
      </c>
      <c r="D851" t="s">
        <v>39</v>
      </c>
      <c r="E851" t="s">
        <v>35</v>
      </c>
      <c r="F851" t="s">
        <v>16</v>
      </c>
      <c r="G851" t="s">
        <v>60</v>
      </c>
      <c r="H851">
        <v>14</v>
      </c>
      <c r="I851">
        <v>250</v>
      </c>
      <c r="J851">
        <f t="shared" si="26"/>
        <v>3500</v>
      </c>
      <c r="K851">
        <f>J851*0.84</f>
        <v>2940</v>
      </c>
      <c r="L851">
        <f t="shared" si="27"/>
        <v>560</v>
      </c>
    </row>
    <row r="852" spans="1:12" x14ac:dyDescent="0.3">
      <c r="A852" t="s">
        <v>909</v>
      </c>
      <c r="B852" s="2">
        <v>45963</v>
      </c>
      <c r="C852" t="s">
        <v>32</v>
      </c>
      <c r="D852" t="s">
        <v>14</v>
      </c>
      <c r="E852" t="s">
        <v>20</v>
      </c>
      <c r="F852" t="s">
        <v>26</v>
      </c>
      <c r="G852" t="s">
        <v>52</v>
      </c>
      <c r="H852">
        <v>18</v>
      </c>
      <c r="I852">
        <v>35000</v>
      </c>
      <c r="J852">
        <f t="shared" si="26"/>
        <v>630000</v>
      </c>
      <c r="K852">
        <f>J852*0.79</f>
        <v>497700</v>
      </c>
      <c r="L852">
        <f t="shared" si="27"/>
        <v>132300</v>
      </c>
    </row>
    <row r="853" spans="1:12" x14ac:dyDescent="0.3">
      <c r="A853" t="s">
        <v>910</v>
      </c>
      <c r="B853" s="2">
        <v>45839</v>
      </c>
      <c r="C853" t="s">
        <v>76</v>
      </c>
      <c r="D853" t="s">
        <v>86</v>
      </c>
      <c r="E853" t="s">
        <v>46</v>
      </c>
      <c r="F853" t="s">
        <v>16</v>
      </c>
      <c r="G853" t="s">
        <v>78</v>
      </c>
      <c r="H853">
        <v>3</v>
      </c>
      <c r="I853">
        <v>800</v>
      </c>
      <c r="J853">
        <f t="shared" si="26"/>
        <v>2400</v>
      </c>
      <c r="K853">
        <f>J853*0.7</f>
        <v>1680</v>
      </c>
      <c r="L853">
        <f t="shared" si="27"/>
        <v>720</v>
      </c>
    </row>
    <row r="854" spans="1:12" x14ac:dyDescent="0.3">
      <c r="A854" t="s">
        <v>911</v>
      </c>
      <c r="B854" s="2">
        <v>45946</v>
      </c>
      <c r="C854" t="s">
        <v>38</v>
      </c>
      <c r="D854" t="s">
        <v>86</v>
      </c>
      <c r="E854" t="s">
        <v>20</v>
      </c>
      <c r="F854" t="s">
        <v>16</v>
      </c>
      <c r="G854" t="s">
        <v>92</v>
      </c>
      <c r="H854">
        <v>3</v>
      </c>
      <c r="I854">
        <v>1200</v>
      </c>
      <c r="J854">
        <f t="shared" si="26"/>
        <v>3600</v>
      </c>
      <c r="K854">
        <f>J854*0.77</f>
        <v>2772</v>
      </c>
      <c r="L854">
        <f t="shared" si="27"/>
        <v>828</v>
      </c>
    </row>
    <row r="855" spans="1:12" x14ac:dyDescent="0.3">
      <c r="A855" t="s">
        <v>912</v>
      </c>
      <c r="B855" s="2">
        <v>45972</v>
      </c>
      <c r="C855" t="s">
        <v>32</v>
      </c>
      <c r="D855" t="s">
        <v>33</v>
      </c>
      <c r="E855" t="s">
        <v>30</v>
      </c>
      <c r="F855" t="s">
        <v>26</v>
      </c>
      <c r="G855" t="s">
        <v>52</v>
      </c>
      <c r="H855">
        <v>15</v>
      </c>
      <c r="I855">
        <v>35000</v>
      </c>
      <c r="J855">
        <f t="shared" si="26"/>
        <v>525000</v>
      </c>
      <c r="K855">
        <f>J855*0.82</f>
        <v>430500</v>
      </c>
      <c r="L855">
        <f t="shared" si="27"/>
        <v>94500</v>
      </c>
    </row>
    <row r="856" spans="1:12" x14ac:dyDescent="0.3">
      <c r="A856" t="s">
        <v>913</v>
      </c>
      <c r="B856" s="2">
        <v>45693</v>
      </c>
      <c r="C856" t="s">
        <v>50</v>
      </c>
      <c r="D856" t="s">
        <v>33</v>
      </c>
      <c r="E856" t="s">
        <v>15</v>
      </c>
      <c r="F856" t="s">
        <v>21</v>
      </c>
      <c r="G856" t="s">
        <v>40</v>
      </c>
      <c r="H856">
        <v>11</v>
      </c>
      <c r="I856">
        <v>5000</v>
      </c>
      <c r="J856">
        <f t="shared" si="26"/>
        <v>55000</v>
      </c>
      <c r="K856">
        <f>J856*0.72</f>
        <v>39600</v>
      </c>
      <c r="L856">
        <f t="shared" si="27"/>
        <v>15400</v>
      </c>
    </row>
    <row r="857" spans="1:12" x14ac:dyDescent="0.3">
      <c r="A857" t="s">
        <v>914</v>
      </c>
      <c r="B857" s="2">
        <v>45796</v>
      </c>
      <c r="C857" t="s">
        <v>48</v>
      </c>
      <c r="D857" t="s">
        <v>64</v>
      </c>
      <c r="E857" t="s">
        <v>35</v>
      </c>
      <c r="F857" t="s">
        <v>21</v>
      </c>
      <c r="G857" t="s">
        <v>40</v>
      </c>
      <c r="H857">
        <v>16</v>
      </c>
      <c r="I857">
        <v>5000</v>
      </c>
      <c r="J857">
        <f t="shared" si="26"/>
        <v>80000</v>
      </c>
      <c r="K857">
        <f>J857*0.76</f>
        <v>60800</v>
      </c>
      <c r="L857">
        <f t="shared" si="27"/>
        <v>19200</v>
      </c>
    </row>
    <row r="858" spans="1:12" x14ac:dyDescent="0.3">
      <c r="A858" t="s">
        <v>915</v>
      </c>
      <c r="B858" s="2">
        <v>45853</v>
      </c>
      <c r="C858" t="s">
        <v>76</v>
      </c>
      <c r="D858" t="s">
        <v>72</v>
      </c>
      <c r="E858" t="s">
        <v>35</v>
      </c>
      <c r="F858" t="s">
        <v>16</v>
      </c>
      <c r="G858" t="s">
        <v>17</v>
      </c>
      <c r="H858">
        <v>5</v>
      </c>
      <c r="I858">
        <v>300</v>
      </c>
      <c r="J858">
        <f t="shared" si="26"/>
        <v>1500</v>
      </c>
      <c r="K858">
        <f>J858*0.76</f>
        <v>1140</v>
      </c>
      <c r="L858">
        <f t="shared" si="27"/>
        <v>360</v>
      </c>
    </row>
    <row r="859" spans="1:12" x14ac:dyDescent="0.3">
      <c r="A859" t="s">
        <v>916</v>
      </c>
      <c r="B859" s="2">
        <v>45760</v>
      </c>
      <c r="C859" t="s">
        <v>59</v>
      </c>
      <c r="D859" t="s">
        <v>64</v>
      </c>
      <c r="E859" t="s">
        <v>15</v>
      </c>
      <c r="F859" t="s">
        <v>21</v>
      </c>
      <c r="G859" t="s">
        <v>22</v>
      </c>
      <c r="H859">
        <v>15</v>
      </c>
      <c r="I859">
        <v>15000</v>
      </c>
      <c r="J859">
        <f t="shared" si="26"/>
        <v>225000</v>
      </c>
      <c r="K859">
        <f>J859*0.73</f>
        <v>164250</v>
      </c>
      <c r="L859">
        <f t="shared" si="27"/>
        <v>60750</v>
      </c>
    </row>
    <row r="860" spans="1:12" x14ac:dyDescent="0.3">
      <c r="A860" t="s">
        <v>917</v>
      </c>
      <c r="B860" s="2">
        <v>45962</v>
      </c>
      <c r="C860" t="s">
        <v>32</v>
      </c>
      <c r="D860" t="s">
        <v>64</v>
      </c>
      <c r="E860" t="s">
        <v>20</v>
      </c>
      <c r="F860" t="s">
        <v>16</v>
      </c>
      <c r="G860" t="s">
        <v>36</v>
      </c>
      <c r="H860">
        <v>8</v>
      </c>
      <c r="I860">
        <v>150</v>
      </c>
      <c r="J860">
        <f t="shared" si="26"/>
        <v>1200</v>
      </c>
      <c r="K860">
        <f>J860*0.79</f>
        <v>948</v>
      </c>
      <c r="L860">
        <f t="shared" si="27"/>
        <v>252</v>
      </c>
    </row>
    <row r="861" spans="1:12" x14ac:dyDescent="0.3">
      <c r="A861" t="s">
        <v>918</v>
      </c>
      <c r="B861" s="2">
        <v>45742</v>
      </c>
      <c r="C861" t="s">
        <v>63</v>
      </c>
      <c r="D861" t="s">
        <v>72</v>
      </c>
      <c r="E861" t="s">
        <v>35</v>
      </c>
      <c r="F861" t="s">
        <v>26</v>
      </c>
      <c r="G861" t="s">
        <v>27</v>
      </c>
      <c r="H861">
        <v>8</v>
      </c>
      <c r="I861">
        <v>45000</v>
      </c>
      <c r="J861">
        <f t="shared" si="26"/>
        <v>360000</v>
      </c>
      <c r="K861">
        <f>J861*0.76</f>
        <v>273600</v>
      </c>
      <c r="L861">
        <f t="shared" si="27"/>
        <v>86400</v>
      </c>
    </row>
    <row r="862" spans="1:12" x14ac:dyDescent="0.3">
      <c r="A862" t="s">
        <v>919</v>
      </c>
      <c r="B862" s="2">
        <v>45790</v>
      </c>
      <c r="C862" t="s">
        <v>48</v>
      </c>
      <c r="D862" t="s">
        <v>25</v>
      </c>
      <c r="E862" t="s">
        <v>15</v>
      </c>
      <c r="F862" t="s">
        <v>16</v>
      </c>
      <c r="G862" t="s">
        <v>60</v>
      </c>
      <c r="H862">
        <v>4</v>
      </c>
      <c r="I862">
        <v>250</v>
      </c>
      <c r="J862">
        <f t="shared" si="26"/>
        <v>1000</v>
      </c>
      <c r="K862">
        <f>J862*0.85</f>
        <v>850</v>
      </c>
      <c r="L862">
        <f t="shared" si="27"/>
        <v>150</v>
      </c>
    </row>
    <row r="863" spans="1:12" x14ac:dyDescent="0.3">
      <c r="A863" t="s">
        <v>920</v>
      </c>
      <c r="B863" s="2">
        <v>45766</v>
      </c>
      <c r="C863" t="s">
        <v>59</v>
      </c>
      <c r="D863" t="s">
        <v>33</v>
      </c>
      <c r="E863" t="s">
        <v>15</v>
      </c>
      <c r="F863" t="s">
        <v>26</v>
      </c>
      <c r="G863" t="s">
        <v>44</v>
      </c>
      <c r="H863">
        <v>14</v>
      </c>
      <c r="I863">
        <v>25000</v>
      </c>
      <c r="J863">
        <f t="shared" si="26"/>
        <v>350000</v>
      </c>
      <c r="K863">
        <f>J863*0.83</f>
        <v>290500</v>
      </c>
      <c r="L863">
        <f t="shared" si="27"/>
        <v>59500</v>
      </c>
    </row>
    <row r="864" spans="1:12" x14ac:dyDescent="0.3">
      <c r="A864" t="s">
        <v>921</v>
      </c>
      <c r="B864" s="2">
        <v>45852</v>
      </c>
      <c r="C864" t="s">
        <v>76</v>
      </c>
      <c r="D864" t="s">
        <v>25</v>
      </c>
      <c r="E864" t="s">
        <v>46</v>
      </c>
      <c r="F864" t="s">
        <v>26</v>
      </c>
      <c r="G864" t="s">
        <v>27</v>
      </c>
      <c r="H864">
        <v>1</v>
      </c>
      <c r="I864">
        <v>45000</v>
      </c>
      <c r="J864">
        <f t="shared" si="26"/>
        <v>45000</v>
      </c>
      <c r="K864">
        <f>J864*0.7</f>
        <v>31499.999999999996</v>
      </c>
      <c r="L864">
        <f t="shared" si="27"/>
        <v>13500.000000000004</v>
      </c>
    </row>
    <row r="865" spans="1:12" x14ac:dyDescent="0.3">
      <c r="A865" t="s">
        <v>922</v>
      </c>
      <c r="B865" s="2">
        <v>45807</v>
      </c>
      <c r="C865" t="s">
        <v>48</v>
      </c>
      <c r="D865" t="s">
        <v>72</v>
      </c>
      <c r="E865" t="s">
        <v>15</v>
      </c>
      <c r="F865" t="s">
        <v>21</v>
      </c>
      <c r="G865" t="s">
        <v>54</v>
      </c>
      <c r="H865">
        <v>2</v>
      </c>
      <c r="I865">
        <v>18000</v>
      </c>
      <c r="J865">
        <f t="shared" si="26"/>
        <v>36000</v>
      </c>
      <c r="K865">
        <f>J865*0.73</f>
        <v>26280</v>
      </c>
      <c r="L865">
        <f t="shared" si="27"/>
        <v>9720</v>
      </c>
    </row>
    <row r="866" spans="1:12" x14ac:dyDescent="0.3">
      <c r="A866" t="s">
        <v>923</v>
      </c>
      <c r="B866" s="2">
        <v>45837</v>
      </c>
      <c r="C866" t="s">
        <v>43</v>
      </c>
      <c r="D866" t="s">
        <v>14</v>
      </c>
      <c r="E866" t="s">
        <v>15</v>
      </c>
      <c r="F866" t="s">
        <v>16</v>
      </c>
      <c r="G866" t="s">
        <v>17</v>
      </c>
      <c r="H866">
        <v>14</v>
      </c>
      <c r="I866">
        <v>300</v>
      </c>
      <c r="J866">
        <f t="shared" si="26"/>
        <v>4200</v>
      </c>
      <c r="K866">
        <f>J866*0.73</f>
        <v>3066</v>
      </c>
      <c r="L866">
        <f t="shared" si="27"/>
        <v>1134</v>
      </c>
    </row>
    <row r="867" spans="1:12" x14ac:dyDescent="0.3">
      <c r="A867" t="s">
        <v>924</v>
      </c>
      <c r="B867" s="2">
        <v>45799</v>
      </c>
      <c r="C867" t="s">
        <v>48</v>
      </c>
      <c r="D867" t="s">
        <v>19</v>
      </c>
      <c r="E867" t="s">
        <v>46</v>
      </c>
      <c r="F867" t="s">
        <v>21</v>
      </c>
      <c r="G867" t="s">
        <v>22</v>
      </c>
      <c r="H867">
        <v>4</v>
      </c>
      <c r="I867">
        <v>15000</v>
      </c>
      <c r="J867">
        <f t="shared" si="26"/>
        <v>60000</v>
      </c>
      <c r="K867">
        <f>J867*0.73</f>
        <v>43800</v>
      </c>
      <c r="L867">
        <f t="shared" si="27"/>
        <v>16200</v>
      </c>
    </row>
    <row r="868" spans="1:12" x14ac:dyDescent="0.3">
      <c r="A868" t="s">
        <v>925</v>
      </c>
      <c r="B868" s="2">
        <v>45852</v>
      </c>
      <c r="C868" t="s">
        <v>76</v>
      </c>
      <c r="D868" t="s">
        <v>64</v>
      </c>
      <c r="E868" t="s">
        <v>46</v>
      </c>
      <c r="F868" t="s">
        <v>26</v>
      </c>
      <c r="G868" t="s">
        <v>94</v>
      </c>
      <c r="H868">
        <v>3</v>
      </c>
      <c r="I868">
        <v>28000</v>
      </c>
      <c r="J868">
        <f t="shared" si="26"/>
        <v>84000</v>
      </c>
      <c r="K868">
        <f>J868*0.71</f>
        <v>59640</v>
      </c>
      <c r="L868">
        <f t="shared" si="27"/>
        <v>24360</v>
      </c>
    </row>
    <row r="869" spans="1:12" x14ac:dyDescent="0.3">
      <c r="A869" t="s">
        <v>926</v>
      </c>
      <c r="B869" s="2">
        <v>45659</v>
      </c>
      <c r="C869" t="s">
        <v>29</v>
      </c>
      <c r="D869" t="s">
        <v>64</v>
      </c>
      <c r="E869" t="s">
        <v>46</v>
      </c>
      <c r="F869" t="s">
        <v>16</v>
      </c>
      <c r="G869" t="s">
        <v>60</v>
      </c>
      <c r="H869">
        <v>12</v>
      </c>
      <c r="I869">
        <v>250</v>
      </c>
      <c r="J869">
        <f t="shared" si="26"/>
        <v>3000</v>
      </c>
      <c r="K869">
        <f>J869*0.85</f>
        <v>2550</v>
      </c>
      <c r="L869">
        <f t="shared" si="27"/>
        <v>450</v>
      </c>
    </row>
    <row r="870" spans="1:12" x14ac:dyDescent="0.3">
      <c r="A870" t="s">
        <v>927</v>
      </c>
      <c r="B870" s="2">
        <v>45910</v>
      </c>
      <c r="C870" t="s">
        <v>13</v>
      </c>
      <c r="D870" t="s">
        <v>83</v>
      </c>
      <c r="E870" t="s">
        <v>35</v>
      </c>
      <c r="F870" t="s">
        <v>21</v>
      </c>
      <c r="G870" t="s">
        <v>74</v>
      </c>
      <c r="H870">
        <v>9</v>
      </c>
      <c r="I870">
        <v>12000</v>
      </c>
      <c r="J870">
        <f t="shared" si="26"/>
        <v>108000</v>
      </c>
      <c r="K870">
        <f>J870*0.73</f>
        <v>78840</v>
      </c>
      <c r="L870">
        <f t="shared" si="27"/>
        <v>29160</v>
      </c>
    </row>
    <row r="871" spans="1:12" x14ac:dyDescent="0.3">
      <c r="A871" t="s">
        <v>928</v>
      </c>
      <c r="B871" s="2">
        <v>45803</v>
      </c>
      <c r="C871" t="s">
        <v>48</v>
      </c>
      <c r="D871" t="s">
        <v>83</v>
      </c>
      <c r="E871" t="s">
        <v>30</v>
      </c>
      <c r="F871" t="s">
        <v>26</v>
      </c>
      <c r="G871" t="s">
        <v>44</v>
      </c>
      <c r="H871">
        <v>14</v>
      </c>
      <c r="I871">
        <v>25000</v>
      </c>
      <c r="J871">
        <f t="shared" si="26"/>
        <v>350000</v>
      </c>
      <c r="K871">
        <f>J871*0.8</f>
        <v>280000</v>
      </c>
      <c r="L871">
        <f t="shared" si="27"/>
        <v>70000</v>
      </c>
    </row>
    <row r="872" spans="1:12" x14ac:dyDescent="0.3">
      <c r="A872" t="s">
        <v>929</v>
      </c>
      <c r="B872" s="2">
        <v>45967</v>
      </c>
      <c r="C872" t="s">
        <v>32</v>
      </c>
      <c r="D872" t="s">
        <v>64</v>
      </c>
      <c r="E872" t="s">
        <v>30</v>
      </c>
      <c r="F872" t="s">
        <v>26</v>
      </c>
      <c r="G872" t="s">
        <v>127</v>
      </c>
      <c r="H872">
        <v>11</v>
      </c>
      <c r="I872">
        <v>1500</v>
      </c>
      <c r="J872">
        <f t="shared" si="26"/>
        <v>16500</v>
      </c>
      <c r="K872">
        <f>J872*0.8</f>
        <v>13200</v>
      </c>
      <c r="L872">
        <f t="shared" si="27"/>
        <v>3300</v>
      </c>
    </row>
    <row r="873" spans="1:12" x14ac:dyDescent="0.3">
      <c r="A873" t="s">
        <v>930</v>
      </c>
      <c r="B873" s="2">
        <v>45946</v>
      </c>
      <c r="C873" t="s">
        <v>38</v>
      </c>
      <c r="D873" t="s">
        <v>25</v>
      </c>
      <c r="E873" t="s">
        <v>46</v>
      </c>
      <c r="F873" t="s">
        <v>26</v>
      </c>
      <c r="G873" t="s">
        <v>111</v>
      </c>
      <c r="H873">
        <v>11</v>
      </c>
      <c r="I873">
        <v>85000</v>
      </c>
      <c r="J873">
        <f t="shared" si="26"/>
        <v>935000</v>
      </c>
      <c r="K873">
        <f>J873*0.84</f>
        <v>785400</v>
      </c>
      <c r="L873">
        <f t="shared" si="27"/>
        <v>149600</v>
      </c>
    </row>
    <row r="874" spans="1:12" x14ac:dyDescent="0.3">
      <c r="A874" t="s">
        <v>931</v>
      </c>
      <c r="B874" s="2">
        <v>45847</v>
      </c>
      <c r="C874" t="s">
        <v>76</v>
      </c>
      <c r="D874" t="s">
        <v>14</v>
      </c>
      <c r="E874" t="s">
        <v>20</v>
      </c>
      <c r="F874" t="s">
        <v>21</v>
      </c>
      <c r="G874" t="s">
        <v>65</v>
      </c>
      <c r="H874">
        <v>1</v>
      </c>
      <c r="I874">
        <v>22000</v>
      </c>
      <c r="J874">
        <f t="shared" si="26"/>
        <v>22000</v>
      </c>
      <c r="K874">
        <f>J874*0.76</f>
        <v>16720</v>
      </c>
      <c r="L874">
        <f t="shared" si="27"/>
        <v>5280</v>
      </c>
    </row>
    <row r="875" spans="1:12" x14ac:dyDescent="0.3">
      <c r="A875" t="s">
        <v>932</v>
      </c>
      <c r="B875" s="2">
        <v>45659</v>
      </c>
      <c r="C875" t="s">
        <v>29</v>
      </c>
      <c r="D875" t="s">
        <v>25</v>
      </c>
      <c r="E875" t="s">
        <v>15</v>
      </c>
      <c r="F875" t="s">
        <v>16</v>
      </c>
      <c r="G875" t="s">
        <v>60</v>
      </c>
      <c r="H875">
        <v>17</v>
      </c>
      <c r="I875">
        <v>250</v>
      </c>
      <c r="J875">
        <f t="shared" si="26"/>
        <v>4250</v>
      </c>
      <c r="K875">
        <f>J875*0.83</f>
        <v>3527.5</v>
      </c>
      <c r="L875">
        <f t="shared" si="27"/>
        <v>722.5</v>
      </c>
    </row>
    <row r="876" spans="1:12" x14ac:dyDescent="0.3">
      <c r="A876" t="s">
        <v>933</v>
      </c>
      <c r="B876" s="2">
        <v>45698</v>
      </c>
      <c r="C876" t="s">
        <v>50</v>
      </c>
      <c r="D876" t="s">
        <v>14</v>
      </c>
      <c r="E876" t="s">
        <v>30</v>
      </c>
      <c r="F876" t="s">
        <v>16</v>
      </c>
      <c r="G876" t="s">
        <v>36</v>
      </c>
      <c r="H876">
        <v>1</v>
      </c>
      <c r="I876">
        <v>150</v>
      </c>
      <c r="J876">
        <f t="shared" si="26"/>
        <v>150</v>
      </c>
      <c r="K876">
        <f>J876*0.8</f>
        <v>120</v>
      </c>
      <c r="L876">
        <f t="shared" si="27"/>
        <v>30</v>
      </c>
    </row>
    <row r="877" spans="1:12" x14ac:dyDescent="0.3">
      <c r="A877" t="s">
        <v>934</v>
      </c>
      <c r="B877" s="2">
        <v>45785</v>
      </c>
      <c r="C877" t="s">
        <v>48</v>
      </c>
      <c r="D877" t="s">
        <v>51</v>
      </c>
      <c r="E877" t="s">
        <v>46</v>
      </c>
      <c r="F877" t="s">
        <v>26</v>
      </c>
      <c r="G877" t="s">
        <v>27</v>
      </c>
      <c r="H877">
        <v>18</v>
      </c>
      <c r="I877">
        <v>45000</v>
      </c>
      <c r="J877">
        <f t="shared" si="26"/>
        <v>810000</v>
      </c>
      <c r="K877">
        <f>J877*0.7</f>
        <v>567000</v>
      </c>
      <c r="L877">
        <f t="shared" si="27"/>
        <v>243000</v>
      </c>
    </row>
    <row r="878" spans="1:12" x14ac:dyDescent="0.3">
      <c r="A878" t="s">
        <v>935</v>
      </c>
      <c r="B878" s="2">
        <v>45862</v>
      </c>
      <c r="C878" t="s">
        <v>76</v>
      </c>
      <c r="D878" t="s">
        <v>83</v>
      </c>
      <c r="E878" t="s">
        <v>15</v>
      </c>
      <c r="F878" t="s">
        <v>26</v>
      </c>
      <c r="G878" t="s">
        <v>69</v>
      </c>
      <c r="H878">
        <v>19</v>
      </c>
      <c r="I878">
        <v>2500</v>
      </c>
      <c r="J878">
        <f t="shared" si="26"/>
        <v>47500</v>
      </c>
      <c r="K878">
        <f>J878*0.75</f>
        <v>35625</v>
      </c>
      <c r="L878">
        <f t="shared" si="27"/>
        <v>11875</v>
      </c>
    </row>
    <row r="879" spans="1:12" x14ac:dyDescent="0.3">
      <c r="A879" t="s">
        <v>936</v>
      </c>
      <c r="B879" s="2">
        <v>45952</v>
      </c>
      <c r="C879" t="s">
        <v>38</v>
      </c>
      <c r="D879" t="s">
        <v>51</v>
      </c>
      <c r="E879" t="s">
        <v>30</v>
      </c>
      <c r="F879" t="s">
        <v>16</v>
      </c>
      <c r="G879" t="s">
        <v>92</v>
      </c>
      <c r="H879">
        <v>15</v>
      </c>
      <c r="I879">
        <v>1200</v>
      </c>
      <c r="J879">
        <f t="shared" si="26"/>
        <v>18000</v>
      </c>
      <c r="K879">
        <f>J879*0.84</f>
        <v>15120</v>
      </c>
      <c r="L879">
        <f t="shared" si="27"/>
        <v>2880</v>
      </c>
    </row>
    <row r="880" spans="1:12" x14ac:dyDescent="0.3">
      <c r="A880" t="s">
        <v>937</v>
      </c>
      <c r="B880" s="2">
        <v>45830</v>
      </c>
      <c r="C880" t="s">
        <v>43</v>
      </c>
      <c r="D880" t="s">
        <v>83</v>
      </c>
      <c r="E880" t="s">
        <v>35</v>
      </c>
      <c r="F880" t="s">
        <v>21</v>
      </c>
      <c r="G880" t="s">
        <v>54</v>
      </c>
      <c r="H880">
        <v>9</v>
      </c>
      <c r="I880">
        <v>18000</v>
      </c>
      <c r="J880">
        <f t="shared" si="26"/>
        <v>162000</v>
      </c>
      <c r="K880">
        <f>J880*0.77</f>
        <v>124740</v>
      </c>
      <c r="L880">
        <f t="shared" si="27"/>
        <v>37260</v>
      </c>
    </row>
    <row r="881" spans="1:12" x14ac:dyDescent="0.3">
      <c r="A881" t="s">
        <v>938</v>
      </c>
      <c r="B881" s="2">
        <v>45718</v>
      </c>
      <c r="C881" t="s">
        <v>63</v>
      </c>
      <c r="D881" t="s">
        <v>64</v>
      </c>
      <c r="E881" t="s">
        <v>35</v>
      </c>
      <c r="F881" t="s">
        <v>21</v>
      </c>
      <c r="G881" t="s">
        <v>22</v>
      </c>
      <c r="H881">
        <v>6</v>
      </c>
      <c r="I881">
        <v>15000</v>
      </c>
      <c r="J881">
        <f t="shared" si="26"/>
        <v>90000</v>
      </c>
      <c r="K881">
        <f>J881*0.8</f>
        <v>72000</v>
      </c>
      <c r="L881">
        <f t="shared" si="27"/>
        <v>18000</v>
      </c>
    </row>
    <row r="882" spans="1:12" x14ac:dyDescent="0.3">
      <c r="A882" t="s">
        <v>939</v>
      </c>
      <c r="B882" s="2">
        <v>45817</v>
      </c>
      <c r="C882" t="s">
        <v>43</v>
      </c>
      <c r="D882" t="s">
        <v>83</v>
      </c>
      <c r="E882" t="s">
        <v>20</v>
      </c>
      <c r="F882" t="s">
        <v>26</v>
      </c>
      <c r="G882" t="s">
        <v>94</v>
      </c>
      <c r="H882">
        <v>4</v>
      </c>
      <c r="I882">
        <v>28000</v>
      </c>
      <c r="J882">
        <f t="shared" si="26"/>
        <v>112000</v>
      </c>
      <c r="K882">
        <f>J882*0.75</f>
        <v>84000</v>
      </c>
      <c r="L882">
        <f t="shared" si="27"/>
        <v>28000</v>
      </c>
    </row>
    <row r="883" spans="1:12" x14ac:dyDescent="0.3">
      <c r="A883" t="s">
        <v>940</v>
      </c>
      <c r="B883" s="2">
        <v>45677</v>
      </c>
      <c r="C883" t="s">
        <v>29</v>
      </c>
      <c r="D883" t="s">
        <v>25</v>
      </c>
      <c r="E883" t="s">
        <v>15</v>
      </c>
      <c r="F883" t="s">
        <v>16</v>
      </c>
      <c r="G883" t="s">
        <v>36</v>
      </c>
      <c r="H883">
        <v>3</v>
      </c>
      <c r="I883">
        <v>150</v>
      </c>
      <c r="J883">
        <f t="shared" si="26"/>
        <v>450</v>
      </c>
      <c r="K883">
        <f>J883*0.7</f>
        <v>315</v>
      </c>
      <c r="L883">
        <f t="shared" si="27"/>
        <v>135</v>
      </c>
    </row>
    <row r="884" spans="1:12" x14ac:dyDescent="0.3">
      <c r="A884" t="s">
        <v>941</v>
      </c>
      <c r="B884" s="2">
        <v>45774</v>
      </c>
      <c r="C884" t="s">
        <v>59</v>
      </c>
      <c r="D884" t="s">
        <v>51</v>
      </c>
      <c r="E884" t="s">
        <v>15</v>
      </c>
      <c r="F884" t="s">
        <v>26</v>
      </c>
      <c r="G884" t="s">
        <v>127</v>
      </c>
      <c r="H884">
        <v>13</v>
      </c>
      <c r="I884">
        <v>1500</v>
      </c>
      <c r="J884">
        <f t="shared" si="26"/>
        <v>19500</v>
      </c>
      <c r="K884">
        <f>J884*0.76</f>
        <v>14820</v>
      </c>
      <c r="L884">
        <f t="shared" si="27"/>
        <v>4680</v>
      </c>
    </row>
    <row r="885" spans="1:12" x14ac:dyDescent="0.3">
      <c r="A885" t="s">
        <v>942</v>
      </c>
      <c r="B885" s="2">
        <v>45951</v>
      </c>
      <c r="C885" t="s">
        <v>38</v>
      </c>
      <c r="D885" t="s">
        <v>33</v>
      </c>
      <c r="E885" t="s">
        <v>30</v>
      </c>
      <c r="F885" t="s">
        <v>16</v>
      </c>
      <c r="G885" t="s">
        <v>92</v>
      </c>
      <c r="H885">
        <v>7</v>
      </c>
      <c r="I885">
        <v>1200</v>
      </c>
      <c r="J885">
        <f t="shared" si="26"/>
        <v>8400</v>
      </c>
      <c r="K885">
        <f>J885*0.79</f>
        <v>6636</v>
      </c>
      <c r="L885">
        <f t="shared" si="27"/>
        <v>1764</v>
      </c>
    </row>
    <row r="886" spans="1:12" x14ac:dyDescent="0.3">
      <c r="A886" t="s">
        <v>943</v>
      </c>
      <c r="B886" s="2">
        <v>45691</v>
      </c>
      <c r="C886" t="s">
        <v>50</v>
      </c>
      <c r="D886" t="s">
        <v>25</v>
      </c>
      <c r="E886" t="s">
        <v>46</v>
      </c>
      <c r="F886" t="s">
        <v>26</v>
      </c>
      <c r="G886" t="s">
        <v>44</v>
      </c>
      <c r="H886">
        <v>17</v>
      </c>
      <c r="I886">
        <v>25000</v>
      </c>
      <c r="J886">
        <f t="shared" si="26"/>
        <v>425000</v>
      </c>
      <c r="K886">
        <f>J886*0.76</f>
        <v>323000</v>
      </c>
      <c r="L886">
        <f t="shared" si="27"/>
        <v>102000</v>
      </c>
    </row>
    <row r="887" spans="1:12" x14ac:dyDescent="0.3">
      <c r="A887" t="s">
        <v>944</v>
      </c>
      <c r="B887" s="2">
        <v>45679</v>
      </c>
      <c r="C887" t="s">
        <v>29</v>
      </c>
      <c r="D887" t="s">
        <v>33</v>
      </c>
      <c r="E887" t="s">
        <v>46</v>
      </c>
      <c r="F887" t="s">
        <v>16</v>
      </c>
      <c r="G887" t="s">
        <v>92</v>
      </c>
      <c r="H887">
        <v>4</v>
      </c>
      <c r="I887">
        <v>1200</v>
      </c>
      <c r="J887">
        <f t="shared" si="26"/>
        <v>4800</v>
      </c>
      <c r="K887">
        <f>J887*0.78</f>
        <v>3744</v>
      </c>
      <c r="L887">
        <f t="shared" si="27"/>
        <v>1056</v>
      </c>
    </row>
    <row r="888" spans="1:12" x14ac:dyDescent="0.3">
      <c r="A888" t="s">
        <v>945</v>
      </c>
      <c r="B888" s="2">
        <v>45804</v>
      </c>
      <c r="C888" t="s">
        <v>48</v>
      </c>
      <c r="D888" t="s">
        <v>14</v>
      </c>
      <c r="E888" t="s">
        <v>30</v>
      </c>
      <c r="F888" t="s">
        <v>26</v>
      </c>
      <c r="G888" t="s">
        <v>69</v>
      </c>
      <c r="H888">
        <v>16</v>
      </c>
      <c r="I888">
        <v>2500</v>
      </c>
      <c r="J888">
        <f t="shared" si="26"/>
        <v>40000</v>
      </c>
      <c r="K888">
        <f>J888*0.8</f>
        <v>32000</v>
      </c>
      <c r="L888">
        <f t="shared" si="27"/>
        <v>8000</v>
      </c>
    </row>
    <row r="889" spans="1:12" x14ac:dyDescent="0.3">
      <c r="A889" t="s">
        <v>946</v>
      </c>
      <c r="B889" s="2">
        <v>45976</v>
      </c>
      <c r="C889" t="s">
        <v>32</v>
      </c>
      <c r="D889" t="s">
        <v>19</v>
      </c>
      <c r="E889" t="s">
        <v>20</v>
      </c>
      <c r="F889" t="s">
        <v>21</v>
      </c>
      <c r="G889" t="s">
        <v>74</v>
      </c>
      <c r="H889">
        <v>17</v>
      </c>
      <c r="I889">
        <v>12000</v>
      </c>
      <c r="J889">
        <f t="shared" si="26"/>
        <v>204000</v>
      </c>
      <c r="K889">
        <f>J889*0.85</f>
        <v>173400</v>
      </c>
      <c r="L889">
        <f t="shared" si="27"/>
        <v>30600</v>
      </c>
    </row>
    <row r="890" spans="1:12" x14ac:dyDescent="0.3">
      <c r="A890" t="s">
        <v>947</v>
      </c>
      <c r="B890" s="2">
        <v>45795</v>
      </c>
      <c r="C890" t="s">
        <v>48</v>
      </c>
      <c r="D890" t="s">
        <v>14</v>
      </c>
      <c r="E890" t="s">
        <v>20</v>
      </c>
      <c r="F890" t="s">
        <v>21</v>
      </c>
      <c r="G890" t="s">
        <v>22</v>
      </c>
      <c r="H890">
        <v>19</v>
      </c>
      <c r="I890">
        <v>15000</v>
      </c>
      <c r="J890">
        <f t="shared" si="26"/>
        <v>285000</v>
      </c>
      <c r="K890">
        <f>J890*0.85</f>
        <v>242250</v>
      </c>
      <c r="L890">
        <f t="shared" si="27"/>
        <v>42750</v>
      </c>
    </row>
    <row r="891" spans="1:12" x14ac:dyDescent="0.3">
      <c r="A891" t="s">
        <v>948</v>
      </c>
      <c r="B891" s="2">
        <v>45793</v>
      </c>
      <c r="C891" t="s">
        <v>48</v>
      </c>
      <c r="D891" t="s">
        <v>64</v>
      </c>
      <c r="E891" t="s">
        <v>35</v>
      </c>
      <c r="F891" t="s">
        <v>26</v>
      </c>
      <c r="G891" t="s">
        <v>111</v>
      </c>
      <c r="H891">
        <v>15</v>
      </c>
      <c r="I891">
        <v>85000</v>
      </c>
      <c r="J891">
        <f t="shared" si="26"/>
        <v>1275000</v>
      </c>
      <c r="K891">
        <f>J891*0.79</f>
        <v>1007250</v>
      </c>
      <c r="L891">
        <f t="shared" si="27"/>
        <v>267750</v>
      </c>
    </row>
    <row r="892" spans="1:12" x14ac:dyDescent="0.3">
      <c r="A892" t="s">
        <v>949</v>
      </c>
      <c r="B892" s="2">
        <v>45731</v>
      </c>
      <c r="C892" t="s">
        <v>63</v>
      </c>
      <c r="D892" t="s">
        <v>83</v>
      </c>
      <c r="E892" t="s">
        <v>30</v>
      </c>
      <c r="F892" t="s">
        <v>16</v>
      </c>
      <c r="G892" t="s">
        <v>36</v>
      </c>
      <c r="H892">
        <v>2</v>
      </c>
      <c r="I892">
        <v>150</v>
      </c>
      <c r="J892">
        <f t="shared" si="26"/>
        <v>300</v>
      </c>
      <c r="K892">
        <f>J892*0.83</f>
        <v>249</v>
      </c>
      <c r="L892">
        <f t="shared" si="27"/>
        <v>51</v>
      </c>
    </row>
    <row r="893" spans="1:12" x14ac:dyDescent="0.3">
      <c r="A893" t="s">
        <v>950</v>
      </c>
      <c r="B893" s="2">
        <v>45763</v>
      </c>
      <c r="C893" t="s">
        <v>59</v>
      </c>
      <c r="D893" t="s">
        <v>51</v>
      </c>
      <c r="E893" t="s">
        <v>15</v>
      </c>
      <c r="F893" t="s">
        <v>26</v>
      </c>
      <c r="G893" t="s">
        <v>44</v>
      </c>
      <c r="H893">
        <v>13</v>
      </c>
      <c r="I893">
        <v>25000</v>
      </c>
      <c r="J893">
        <f t="shared" si="26"/>
        <v>325000</v>
      </c>
      <c r="K893">
        <f>J893*0.75</f>
        <v>243750</v>
      </c>
      <c r="L893">
        <f t="shared" si="27"/>
        <v>81250</v>
      </c>
    </row>
    <row r="894" spans="1:12" x14ac:dyDescent="0.3">
      <c r="A894" t="s">
        <v>951</v>
      </c>
      <c r="B894" s="2">
        <v>45727</v>
      </c>
      <c r="C894" t="s">
        <v>63</v>
      </c>
      <c r="D894" t="s">
        <v>86</v>
      </c>
      <c r="E894" t="s">
        <v>46</v>
      </c>
      <c r="F894" t="s">
        <v>26</v>
      </c>
      <c r="G894" t="s">
        <v>127</v>
      </c>
      <c r="H894">
        <v>14</v>
      </c>
      <c r="I894">
        <v>1500</v>
      </c>
      <c r="J894">
        <f t="shared" si="26"/>
        <v>21000</v>
      </c>
      <c r="K894">
        <f>J894*0.71</f>
        <v>14910</v>
      </c>
      <c r="L894">
        <f t="shared" si="27"/>
        <v>6090</v>
      </c>
    </row>
    <row r="895" spans="1:12" x14ac:dyDescent="0.3">
      <c r="A895" t="s">
        <v>952</v>
      </c>
      <c r="B895" s="2">
        <v>45710</v>
      </c>
      <c r="C895" t="s">
        <v>50</v>
      </c>
      <c r="D895" t="s">
        <v>33</v>
      </c>
      <c r="E895" t="s">
        <v>15</v>
      </c>
      <c r="F895" t="s">
        <v>21</v>
      </c>
      <c r="G895" t="s">
        <v>65</v>
      </c>
      <c r="H895">
        <v>5</v>
      </c>
      <c r="I895">
        <v>22000</v>
      </c>
      <c r="J895">
        <f t="shared" si="26"/>
        <v>110000</v>
      </c>
      <c r="K895">
        <f>J895*0.72</f>
        <v>79200</v>
      </c>
      <c r="L895">
        <f t="shared" si="27"/>
        <v>30800</v>
      </c>
    </row>
    <row r="896" spans="1:12" x14ac:dyDescent="0.3">
      <c r="A896" t="s">
        <v>953</v>
      </c>
      <c r="B896" s="2">
        <v>45883</v>
      </c>
      <c r="C896" t="s">
        <v>57</v>
      </c>
      <c r="D896" t="s">
        <v>72</v>
      </c>
      <c r="E896" t="s">
        <v>46</v>
      </c>
      <c r="F896" t="s">
        <v>21</v>
      </c>
      <c r="G896" t="s">
        <v>40</v>
      </c>
      <c r="H896">
        <v>7</v>
      </c>
      <c r="I896">
        <v>5000</v>
      </c>
      <c r="J896">
        <f t="shared" si="26"/>
        <v>35000</v>
      </c>
      <c r="K896">
        <f>J896*0.84</f>
        <v>29400</v>
      </c>
      <c r="L896">
        <f t="shared" si="27"/>
        <v>5600</v>
      </c>
    </row>
    <row r="897" spans="1:12" x14ac:dyDescent="0.3">
      <c r="A897" t="s">
        <v>954</v>
      </c>
      <c r="B897" s="2">
        <v>45972</v>
      </c>
      <c r="C897" t="s">
        <v>32</v>
      </c>
      <c r="D897" t="s">
        <v>14</v>
      </c>
      <c r="E897" t="s">
        <v>20</v>
      </c>
      <c r="F897" t="s">
        <v>21</v>
      </c>
      <c r="G897" t="s">
        <v>65</v>
      </c>
      <c r="H897">
        <v>19</v>
      </c>
      <c r="I897">
        <v>22000</v>
      </c>
      <c r="J897">
        <f t="shared" si="26"/>
        <v>418000</v>
      </c>
      <c r="K897">
        <f>J897*0.75</f>
        <v>313500</v>
      </c>
      <c r="L897">
        <f t="shared" si="27"/>
        <v>104500</v>
      </c>
    </row>
    <row r="898" spans="1:12" x14ac:dyDescent="0.3">
      <c r="A898" t="s">
        <v>955</v>
      </c>
      <c r="B898" s="2">
        <v>45991</v>
      </c>
      <c r="C898" t="s">
        <v>32</v>
      </c>
      <c r="D898" t="s">
        <v>25</v>
      </c>
      <c r="E898" t="s">
        <v>15</v>
      </c>
      <c r="F898" t="s">
        <v>21</v>
      </c>
      <c r="G898" t="s">
        <v>65</v>
      </c>
      <c r="H898">
        <v>16</v>
      </c>
      <c r="I898">
        <v>22000</v>
      </c>
      <c r="J898">
        <f t="shared" ref="J898:J961" si="28">H898*I898</f>
        <v>352000</v>
      </c>
      <c r="K898">
        <f>J898*0.74</f>
        <v>260480</v>
      </c>
      <c r="L898">
        <f t="shared" ref="L898:L961" si="29">J898-K898</f>
        <v>91520</v>
      </c>
    </row>
    <row r="899" spans="1:12" x14ac:dyDescent="0.3">
      <c r="A899" t="s">
        <v>956</v>
      </c>
      <c r="B899" s="2">
        <v>45845</v>
      </c>
      <c r="C899" t="s">
        <v>76</v>
      </c>
      <c r="D899" t="s">
        <v>51</v>
      </c>
      <c r="E899" t="s">
        <v>20</v>
      </c>
      <c r="F899" t="s">
        <v>26</v>
      </c>
      <c r="G899" t="s">
        <v>127</v>
      </c>
      <c r="H899">
        <v>9</v>
      </c>
      <c r="I899">
        <v>1500</v>
      </c>
      <c r="J899">
        <f t="shared" si="28"/>
        <v>13500</v>
      </c>
      <c r="K899">
        <f>J899*0.72</f>
        <v>9720</v>
      </c>
      <c r="L899">
        <f t="shared" si="29"/>
        <v>3780</v>
      </c>
    </row>
    <row r="900" spans="1:12" x14ac:dyDescent="0.3">
      <c r="A900" t="s">
        <v>957</v>
      </c>
      <c r="B900" s="2">
        <v>45901</v>
      </c>
      <c r="C900" t="s">
        <v>13</v>
      </c>
      <c r="D900" t="s">
        <v>25</v>
      </c>
      <c r="E900" t="s">
        <v>30</v>
      </c>
      <c r="F900" t="s">
        <v>16</v>
      </c>
      <c r="G900" t="s">
        <v>78</v>
      </c>
      <c r="H900">
        <v>9</v>
      </c>
      <c r="I900">
        <v>800</v>
      </c>
      <c r="J900">
        <f t="shared" si="28"/>
        <v>7200</v>
      </c>
      <c r="K900">
        <f>J900*0.7</f>
        <v>5040</v>
      </c>
      <c r="L900">
        <f t="shared" si="29"/>
        <v>2160</v>
      </c>
    </row>
    <row r="901" spans="1:12" x14ac:dyDescent="0.3">
      <c r="A901" t="s">
        <v>958</v>
      </c>
      <c r="B901" s="2">
        <v>45990</v>
      </c>
      <c r="C901" t="s">
        <v>32</v>
      </c>
      <c r="D901" t="s">
        <v>64</v>
      </c>
      <c r="E901" t="s">
        <v>30</v>
      </c>
      <c r="F901" t="s">
        <v>26</v>
      </c>
      <c r="G901" t="s">
        <v>52</v>
      </c>
      <c r="H901">
        <v>2</v>
      </c>
      <c r="I901">
        <v>35000</v>
      </c>
      <c r="J901">
        <f t="shared" si="28"/>
        <v>70000</v>
      </c>
      <c r="K901">
        <f>J901*0.71</f>
        <v>49700</v>
      </c>
      <c r="L901">
        <f t="shared" si="29"/>
        <v>20300</v>
      </c>
    </row>
    <row r="902" spans="1:12" x14ac:dyDescent="0.3">
      <c r="A902" t="s">
        <v>959</v>
      </c>
      <c r="B902" s="2">
        <v>45850</v>
      </c>
      <c r="C902" t="s">
        <v>76</v>
      </c>
      <c r="D902" t="s">
        <v>33</v>
      </c>
      <c r="E902" t="s">
        <v>46</v>
      </c>
      <c r="F902" t="s">
        <v>26</v>
      </c>
      <c r="G902" t="s">
        <v>44</v>
      </c>
      <c r="H902">
        <v>8</v>
      </c>
      <c r="I902">
        <v>25000</v>
      </c>
      <c r="J902">
        <f t="shared" si="28"/>
        <v>200000</v>
      </c>
      <c r="K902">
        <f>J902*0.79</f>
        <v>158000</v>
      </c>
      <c r="L902">
        <f t="shared" si="29"/>
        <v>42000</v>
      </c>
    </row>
    <row r="903" spans="1:12" x14ac:dyDescent="0.3">
      <c r="A903" t="s">
        <v>960</v>
      </c>
      <c r="B903" s="2">
        <v>45915</v>
      </c>
      <c r="C903" t="s">
        <v>13</v>
      </c>
      <c r="D903" t="s">
        <v>51</v>
      </c>
      <c r="E903" t="s">
        <v>30</v>
      </c>
      <c r="F903" t="s">
        <v>16</v>
      </c>
      <c r="G903" t="s">
        <v>17</v>
      </c>
      <c r="H903">
        <v>15</v>
      </c>
      <c r="I903">
        <v>300</v>
      </c>
      <c r="J903">
        <f t="shared" si="28"/>
        <v>4500</v>
      </c>
      <c r="K903">
        <f>J903*0.79</f>
        <v>3555</v>
      </c>
      <c r="L903">
        <f t="shared" si="29"/>
        <v>945</v>
      </c>
    </row>
    <row r="904" spans="1:12" x14ac:dyDescent="0.3">
      <c r="A904" t="s">
        <v>961</v>
      </c>
      <c r="B904" s="2">
        <v>45739</v>
      </c>
      <c r="C904" t="s">
        <v>63</v>
      </c>
      <c r="D904" t="s">
        <v>19</v>
      </c>
      <c r="E904" t="s">
        <v>30</v>
      </c>
      <c r="F904" t="s">
        <v>26</v>
      </c>
      <c r="G904" t="s">
        <v>44</v>
      </c>
      <c r="H904">
        <v>2</v>
      </c>
      <c r="I904">
        <v>25000</v>
      </c>
      <c r="J904">
        <f t="shared" si="28"/>
        <v>50000</v>
      </c>
      <c r="K904">
        <f>J904*0.72</f>
        <v>36000</v>
      </c>
      <c r="L904">
        <f t="shared" si="29"/>
        <v>14000</v>
      </c>
    </row>
    <row r="905" spans="1:12" x14ac:dyDescent="0.3">
      <c r="A905" t="s">
        <v>962</v>
      </c>
      <c r="B905" s="2">
        <v>45718</v>
      </c>
      <c r="C905" t="s">
        <v>63</v>
      </c>
      <c r="D905" t="s">
        <v>64</v>
      </c>
      <c r="E905" t="s">
        <v>15</v>
      </c>
      <c r="F905" t="s">
        <v>21</v>
      </c>
      <c r="G905" t="s">
        <v>54</v>
      </c>
      <c r="H905">
        <v>8</v>
      </c>
      <c r="I905">
        <v>18000</v>
      </c>
      <c r="J905">
        <f t="shared" si="28"/>
        <v>144000</v>
      </c>
      <c r="K905">
        <f>J905*0.72</f>
        <v>103680</v>
      </c>
      <c r="L905">
        <f t="shared" si="29"/>
        <v>40320</v>
      </c>
    </row>
    <row r="906" spans="1:12" x14ac:dyDescent="0.3">
      <c r="A906" t="s">
        <v>963</v>
      </c>
      <c r="B906" s="2">
        <v>45961</v>
      </c>
      <c r="C906" t="s">
        <v>38</v>
      </c>
      <c r="D906" t="s">
        <v>51</v>
      </c>
      <c r="E906" t="s">
        <v>15</v>
      </c>
      <c r="F906" t="s">
        <v>16</v>
      </c>
      <c r="G906" t="s">
        <v>78</v>
      </c>
      <c r="H906">
        <v>17</v>
      </c>
      <c r="I906">
        <v>800</v>
      </c>
      <c r="J906">
        <f t="shared" si="28"/>
        <v>13600</v>
      </c>
      <c r="K906">
        <f>J906*0.76</f>
        <v>10336</v>
      </c>
      <c r="L906">
        <f t="shared" si="29"/>
        <v>3264</v>
      </c>
    </row>
    <row r="907" spans="1:12" x14ac:dyDescent="0.3">
      <c r="A907" t="s">
        <v>964</v>
      </c>
      <c r="B907" s="2">
        <v>45851</v>
      </c>
      <c r="C907" t="s">
        <v>76</v>
      </c>
      <c r="D907" t="s">
        <v>83</v>
      </c>
      <c r="E907" t="s">
        <v>46</v>
      </c>
      <c r="F907" t="s">
        <v>21</v>
      </c>
      <c r="G907" t="s">
        <v>65</v>
      </c>
      <c r="H907">
        <v>5</v>
      </c>
      <c r="I907">
        <v>22000</v>
      </c>
      <c r="J907">
        <f t="shared" si="28"/>
        <v>110000</v>
      </c>
      <c r="K907">
        <f>J907*0.82</f>
        <v>90200</v>
      </c>
      <c r="L907">
        <f t="shared" si="29"/>
        <v>19800</v>
      </c>
    </row>
    <row r="908" spans="1:12" x14ac:dyDescent="0.3">
      <c r="A908" t="s">
        <v>965</v>
      </c>
      <c r="B908" s="2">
        <v>46017</v>
      </c>
      <c r="C908" t="s">
        <v>24</v>
      </c>
      <c r="D908" t="s">
        <v>86</v>
      </c>
      <c r="E908" t="s">
        <v>20</v>
      </c>
      <c r="F908" t="s">
        <v>26</v>
      </c>
      <c r="G908" t="s">
        <v>44</v>
      </c>
      <c r="H908">
        <v>10</v>
      </c>
      <c r="I908">
        <v>25000</v>
      </c>
      <c r="J908">
        <f t="shared" si="28"/>
        <v>250000</v>
      </c>
      <c r="K908">
        <f>J908*0.74</f>
        <v>185000</v>
      </c>
      <c r="L908">
        <f t="shared" si="29"/>
        <v>65000</v>
      </c>
    </row>
    <row r="909" spans="1:12" x14ac:dyDescent="0.3">
      <c r="A909" t="s">
        <v>966</v>
      </c>
      <c r="B909" s="2">
        <v>45810</v>
      </c>
      <c r="C909" t="s">
        <v>43</v>
      </c>
      <c r="D909" t="s">
        <v>14</v>
      </c>
      <c r="E909" t="s">
        <v>46</v>
      </c>
      <c r="F909" t="s">
        <v>26</v>
      </c>
      <c r="G909" t="s">
        <v>52</v>
      </c>
      <c r="H909">
        <v>14</v>
      </c>
      <c r="I909">
        <v>35000</v>
      </c>
      <c r="J909">
        <f t="shared" si="28"/>
        <v>490000</v>
      </c>
      <c r="K909">
        <f>J909*0.77</f>
        <v>377300</v>
      </c>
      <c r="L909">
        <f t="shared" si="29"/>
        <v>112700</v>
      </c>
    </row>
    <row r="910" spans="1:12" x14ac:dyDescent="0.3">
      <c r="A910" t="s">
        <v>967</v>
      </c>
      <c r="B910" s="2">
        <v>45805</v>
      </c>
      <c r="C910" t="s">
        <v>48</v>
      </c>
      <c r="D910" t="s">
        <v>64</v>
      </c>
      <c r="E910" t="s">
        <v>30</v>
      </c>
      <c r="F910" t="s">
        <v>16</v>
      </c>
      <c r="G910" t="s">
        <v>78</v>
      </c>
      <c r="H910">
        <v>8</v>
      </c>
      <c r="I910">
        <v>800</v>
      </c>
      <c r="J910">
        <f t="shared" si="28"/>
        <v>6400</v>
      </c>
      <c r="K910">
        <f>J910*0.71</f>
        <v>4544</v>
      </c>
      <c r="L910">
        <f t="shared" si="29"/>
        <v>1856</v>
      </c>
    </row>
    <row r="911" spans="1:12" x14ac:dyDescent="0.3">
      <c r="A911" t="s">
        <v>968</v>
      </c>
      <c r="B911" s="2">
        <v>45904</v>
      </c>
      <c r="C911" t="s">
        <v>13</v>
      </c>
      <c r="D911" t="s">
        <v>86</v>
      </c>
      <c r="E911" t="s">
        <v>20</v>
      </c>
      <c r="F911" t="s">
        <v>16</v>
      </c>
      <c r="G911" t="s">
        <v>78</v>
      </c>
      <c r="H911">
        <v>16</v>
      </c>
      <c r="I911">
        <v>800</v>
      </c>
      <c r="J911">
        <f t="shared" si="28"/>
        <v>12800</v>
      </c>
      <c r="K911">
        <f>J911*0.75</f>
        <v>9600</v>
      </c>
      <c r="L911">
        <f t="shared" si="29"/>
        <v>3200</v>
      </c>
    </row>
    <row r="912" spans="1:12" x14ac:dyDescent="0.3">
      <c r="A912" t="s">
        <v>969</v>
      </c>
      <c r="B912" s="2">
        <v>45755</v>
      </c>
      <c r="C912" t="s">
        <v>59</v>
      </c>
      <c r="D912" t="s">
        <v>72</v>
      </c>
      <c r="E912" t="s">
        <v>15</v>
      </c>
      <c r="F912" t="s">
        <v>21</v>
      </c>
      <c r="G912" t="s">
        <v>74</v>
      </c>
      <c r="H912">
        <v>15</v>
      </c>
      <c r="I912">
        <v>12000</v>
      </c>
      <c r="J912">
        <f t="shared" si="28"/>
        <v>180000</v>
      </c>
      <c r="K912">
        <f>J912*0.72</f>
        <v>129600</v>
      </c>
      <c r="L912">
        <f t="shared" si="29"/>
        <v>50400</v>
      </c>
    </row>
    <row r="913" spans="1:12" x14ac:dyDescent="0.3">
      <c r="A913" t="s">
        <v>970</v>
      </c>
      <c r="B913" s="2">
        <v>45739</v>
      </c>
      <c r="C913" t="s">
        <v>63</v>
      </c>
      <c r="D913" t="s">
        <v>39</v>
      </c>
      <c r="E913" t="s">
        <v>46</v>
      </c>
      <c r="F913" t="s">
        <v>21</v>
      </c>
      <c r="G913" t="s">
        <v>74</v>
      </c>
      <c r="H913">
        <v>15</v>
      </c>
      <c r="I913">
        <v>12000</v>
      </c>
      <c r="J913">
        <f t="shared" si="28"/>
        <v>180000</v>
      </c>
      <c r="K913">
        <f>J913*0.79</f>
        <v>142200</v>
      </c>
      <c r="L913">
        <f t="shared" si="29"/>
        <v>37800</v>
      </c>
    </row>
    <row r="914" spans="1:12" x14ac:dyDescent="0.3">
      <c r="A914" t="s">
        <v>971</v>
      </c>
      <c r="B914" s="2">
        <v>45955</v>
      </c>
      <c r="C914" t="s">
        <v>38</v>
      </c>
      <c r="D914" t="s">
        <v>72</v>
      </c>
      <c r="E914" t="s">
        <v>35</v>
      </c>
      <c r="F914" t="s">
        <v>26</v>
      </c>
      <c r="G914" t="s">
        <v>111</v>
      </c>
      <c r="H914">
        <v>13</v>
      </c>
      <c r="I914">
        <v>85000</v>
      </c>
      <c r="J914">
        <f t="shared" si="28"/>
        <v>1105000</v>
      </c>
      <c r="K914">
        <f>J914*0.82</f>
        <v>906100</v>
      </c>
      <c r="L914">
        <f t="shared" si="29"/>
        <v>198900</v>
      </c>
    </row>
    <row r="915" spans="1:12" x14ac:dyDescent="0.3">
      <c r="A915" t="s">
        <v>972</v>
      </c>
      <c r="B915" s="2">
        <v>45881</v>
      </c>
      <c r="C915" t="s">
        <v>57</v>
      </c>
      <c r="D915" t="s">
        <v>33</v>
      </c>
      <c r="E915" t="s">
        <v>35</v>
      </c>
      <c r="F915" t="s">
        <v>16</v>
      </c>
      <c r="G915" t="s">
        <v>17</v>
      </c>
      <c r="H915">
        <v>2</v>
      </c>
      <c r="I915">
        <v>300</v>
      </c>
      <c r="J915">
        <f t="shared" si="28"/>
        <v>600</v>
      </c>
      <c r="K915">
        <f>J915*0.74</f>
        <v>444</v>
      </c>
      <c r="L915">
        <f t="shared" si="29"/>
        <v>156</v>
      </c>
    </row>
    <row r="916" spans="1:12" x14ac:dyDescent="0.3">
      <c r="A916" t="s">
        <v>973</v>
      </c>
      <c r="B916" s="2">
        <v>45861</v>
      </c>
      <c r="C916" t="s">
        <v>76</v>
      </c>
      <c r="D916" t="s">
        <v>83</v>
      </c>
      <c r="E916" t="s">
        <v>46</v>
      </c>
      <c r="F916" t="s">
        <v>16</v>
      </c>
      <c r="G916" t="s">
        <v>92</v>
      </c>
      <c r="H916">
        <v>17</v>
      </c>
      <c r="I916">
        <v>1200</v>
      </c>
      <c r="J916">
        <f t="shared" si="28"/>
        <v>20400</v>
      </c>
      <c r="K916">
        <f>J916*0.77</f>
        <v>15708</v>
      </c>
      <c r="L916">
        <f t="shared" si="29"/>
        <v>4692</v>
      </c>
    </row>
    <row r="917" spans="1:12" x14ac:dyDescent="0.3">
      <c r="A917" t="s">
        <v>974</v>
      </c>
      <c r="B917" s="2">
        <v>45837</v>
      </c>
      <c r="C917" t="s">
        <v>43</v>
      </c>
      <c r="D917" t="s">
        <v>33</v>
      </c>
      <c r="E917" t="s">
        <v>35</v>
      </c>
      <c r="F917" t="s">
        <v>16</v>
      </c>
      <c r="G917" t="s">
        <v>60</v>
      </c>
      <c r="H917">
        <v>2</v>
      </c>
      <c r="I917">
        <v>250</v>
      </c>
      <c r="J917">
        <f t="shared" si="28"/>
        <v>500</v>
      </c>
      <c r="K917">
        <f>J917*0.8</f>
        <v>400</v>
      </c>
      <c r="L917">
        <f t="shared" si="29"/>
        <v>100</v>
      </c>
    </row>
    <row r="918" spans="1:12" x14ac:dyDescent="0.3">
      <c r="A918" t="s">
        <v>975</v>
      </c>
      <c r="B918" s="2">
        <v>45816</v>
      </c>
      <c r="C918" t="s">
        <v>43</v>
      </c>
      <c r="D918" t="s">
        <v>14</v>
      </c>
      <c r="E918" t="s">
        <v>15</v>
      </c>
      <c r="F918" t="s">
        <v>16</v>
      </c>
      <c r="G918" t="s">
        <v>36</v>
      </c>
      <c r="H918">
        <v>18</v>
      </c>
      <c r="I918">
        <v>150</v>
      </c>
      <c r="J918">
        <f t="shared" si="28"/>
        <v>2700</v>
      </c>
      <c r="K918">
        <f>J918*0.84</f>
        <v>2268</v>
      </c>
      <c r="L918">
        <f t="shared" si="29"/>
        <v>432</v>
      </c>
    </row>
    <row r="919" spans="1:12" x14ac:dyDescent="0.3">
      <c r="A919" t="s">
        <v>976</v>
      </c>
      <c r="B919" s="2">
        <v>45821</v>
      </c>
      <c r="C919" t="s">
        <v>43</v>
      </c>
      <c r="D919" t="s">
        <v>86</v>
      </c>
      <c r="E919" t="s">
        <v>15</v>
      </c>
      <c r="F919" t="s">
        <v>16</v>
      </c>
      <c r="G919" t="s">
        <v>78</v>
      </c>
      <c r="H919">
        <v>8</v>
      </c>
      <c r="I919">
        <v>800</v>
      </c>
      <c r="J919">
        <f t="shared" si="28"/>
        <v>6400</v>
      </c>
      <c r="K919">
        <f>J919*0.74</f>
        <v>4736</v>
      </c>
      <c r="L919">
        <f t="shared" si="29"/>
        <v>1664</v>
      </c>
    </row>
    <row r="920" spans="1:12" x14ac:dyDescent="0.3">
      <c r="A920" t="s">
        <v>977</v>
      </c>
      <c r="B920" s="2">
        <v>45840</v>
      </c>
      <c r="C920" t="s">
        <v>76</v>
      </c>
      <c r="D920" t="s">
        <v>72</v>
      </c>
      <c r="E920" t="s">
        <v>30</v>
      </c>
      <c r="F920" t="s">
        <v>16</v>
      </c>
      <c r="G920" t="s">
        <v>17</v>
      </c>
      <c r="H920">
        <v>5</v>
      </c>
      <c r="I920">
        <v>300</v>
      </c>
      <c r="J920">
        <f t="shared" si="28"/>
        <v>1500</v>
      </c>
      <c r="K920">
        <f>J920*0.72</f>
        <v>1080</v>
      </c>
      <c r="L920">
        <f t="shared" si="29"/>
        <v>420</v>
      </c>
    </row>
    <row r="921" spans="1:12" x14ac:dyDescent="0.3">
      <c r="A921" t="s">
        <v>978</v>
      </c>
      <c r="B921" s="2">
        <v>45905</v>
      </c>
      <c r="C921" t="s">
        <v>13</v>
      </c>
      <c r="D921" t="s">
        <v>86</v>
      </c>
      <c r="E921" t="s">
        <v>35</v>
      </c>
      <c r="F921" t="s">
        <v>16</v>
      </c>
      <c r="G921" t="s">
        <v>78</v>
      </c>
      <c r="H921">
        <v>2</v>
      </c>
      <c r="I921">
        <v>800</v>
      </c>
      <c r="J921">
        <f t="shared" si="28"/>
        <v>1600</v>
      </c>
      <c r="K921">
        <f>J921*0.78</f>
        <v>1248</v>
      </c>
      <c r="L921">
        <f t="shared" si="29"/>
        <v>352</v>
      </c>
    </row>
    <row r="922" spans="1:12" x14ac:dyDescent="0.3">
      <c r="A922" t="s">
        <v>979</v>
      </c>
      <c r="B922" s="2">
        <v>45695</v>
      </c>
      <c r="C922" t="s">
        <v>50</v>
      </c>
      <c r="D922" t="s">
        <v>19</v>
      </c>
      <c r="E922" t="s">
        <v>30</v>
      </c>
      <c r="F922" t="s">
        <v>16</v>
      </c>
      <c r="G922" t="s">
        <v>92</v>
      </c>
      <c r="H922">
        <v>3</v>
      </c>
      <c r="I922">
        <v>1200</v>
      </c>
      <c r="J922">
        <f t="shared" si="28"/>
        <v>3600</v>
      </c>
      <c r="K922">
        <f>J922*0.74</f>
        <v>2664</v>
      </c>
      <c r="L922">
        <f t="shared" si="29"/>
        <v>936</v>
      </c>
    </row>
    <row r="923" spans="1:12" x14ac:dyDescent="0.3">
      <c r="A923" t="s">
        <v>980</v>
      </c>
      <c r="B923" s="2">
        <v>45986</v>
      </c>
      <c r="C923" t="s">
        <v>32</v>
      </c>
      <c r="D923" t="s">
        <v>64</v>
      </c>
      <c r="E923" t="s">
        <v>35</v>
      </c>
      <c r="F923" t="s">
        <v>21</v>
      </c>
      <c r="G923" t="s">
        <v>22</v>
      </c>
      <c r="H923">
        <v>6</v>
      </c>
      <c r="I923">
        <v>15000</v>
      </c>
      <c r="J923">
        <f t="shared" si="28"/>
        <v>90000</v>
      </c>
      <c r="K923">
        <f>J923*0.85</f>
        <v>76500</v>
      </c>
      <c r="L923">
        <f t="shared" si="29"/>
        <v>13500</v>
      </c>
    </row>
    <row r="924" spans="1:12" x14ac:dyDescent="0.3">
      <c r="A924" t="s">
        <v>981</v>
      </c>
      <c r="B924" s="2">
        <v>45808</v>
      </c>
      <c r="C924" t="s">
        <v>48</v>
      </c>
      <c r="D924" t="s">
        <v>72</v>
      </c>
      <c r="E924" t="s">
        <v>20</v>
      </c>
      <c r="F924" t="s">
        <v>26</v>
      </c>
      <c r="G924" t="s">
        <v>69</v>
      </c>
      <c r="H924">
        <v>6</v>
      </c>
      <c r="I924">
        <v>2500</v>
      </c>
      <c r="J924">
        <f t="shared" si="28"/>
        <v>15000</v>
      </c>
      <c r="K924">
        <f>J924*0.78</f>
        <v>11700</v>
      </c>
      <c r="L924">
        <f t="shared" si="29"/>
        <v>3300</v>
      </c>
    </row>
    <row r="925" spans="1:12" x14ac:dyDescent="0.3">
      <c r="A925" t="s">
        <v>982</v>
      </c>
      <c r="B925" s="2">
        <v>45796</v>
      </c>
      <c r="C925" t="s">
        <v>48</v>
      </c>
      <c r="D925" t="s">
        <v>25</v>
      </c>
      <c r="E925" t="s">
        <v>30</v>
      </c>
      <c r="F925" t="s">
        <v>16</v>
      </c>
      <c r="G925" t="s">
        <v>36</v>
      </c>
      <c r="H925">
        <v>17</v>
      </c>
      <c r="I925">
        <v>150</v>
      </c>
      <c r="J925">
        <f t="shared" si="28"/>
        <v>2550</v>
      </c>
      <c r="K925">
        <f>J925*0.75</f>
        <v>1912.5</v>
      </c>
      <c r="L925">
        <f t="shared" si="29"/>
        <v>637.5</v>
      </c>
    </row>
    <row r="926" spans="1:12" x14ac:dyDescent="0.3">
      <c r="A926" t="s">
        <v>983</v>
      </c>
      <c r="B926" s="2">
        <v>45892</v>
      </c>
      <c r="C926" t="s">
        <v>57</v>
      </c>
      <c r="D926" t="s">
        <v>14</v>
      </c>
      <c r="E926" t="s">
        <v>46</v>
      </c>
      <c r="F926" t="s">
        <v>16</v>
      </c>
      <c r="G926" t="s">
        <v>17</v>
      </c>
      <c r="H926">
        <v>12</v>
      </c>
      <c r="I926">
        <v>300</v>
      </c>
      <c r="J926">
        <f t="shared" si="28"/>
        <v>3600</v>
      </c>
      <c r="K926">
        <f>J926*0.83</f>
        <v>2988</v>
      </c>
      <c r="L926">
        <f t="shared" si="29"/>
        <v>612</v>
      </c>
    </row>
    <row r="927" spans="1:12" x14ac:dyDescent="0.3">
      <c r="A927" t="s">
        <v>984</v>
      </c>
      <c r="B927" s="2">
        <v>45731</v>
      </c>
      <c r="C927" t="s">
        <v>63</v>
      </c>
      <c r="D927" t="s">
        <v>33</v>
      </c>
      <c r="E927" t="s">
        <v>46</v>
      </c>
      <c r="F927" t="s">
        <v>26</v>
      </c>
      <c r="G927" t="s">
        <v>94</v>
      </c>
      <c r="H927">
        <v>6</v>
      </c>
      <c r="I927">
        <v>28000</v>
      </c>
      <c r="J927">
        <f t="shared" si="28"/>
        <v>168000</v>
      </c>
      <c r="K927">
        <f>J927*0.82</f>
        <v>137760</v>
      </c>
      <c r="L927">
        <f t="shared" si="29"/>
        <v>30240</v>
      </c>
    </row>
    <row r="928" spans="1:12" x14ac:dyDescent="0.3">
      <c r="A928" t="s">
        <v>985</v>
      </c>
      <c r="B928" s="2">
        <v>45882</v>
      </c>
      <c r="C928" t="s">
        <v>57</v>
      </c>
      <c r="D928" t="s">
        <v>33</v>
      </c>
      <c r="E928" t="s">
        <v>46</v>
      </c>
      <c r="F928" t="s">
        <v>16</v>
      </c>
      <c r="G928" t="s">
        <v>36</v>
      </c>
      <c r="H928">
        <v>13</v>
      </c>
      <c r="I928">
        <v>150</v>
      </c>
      <c r="J928">
        <f t="shared" si="28"/>
        <v>1950</v>
      </c>
      <c r="K928">
        <f>J928*0.71</f>
        <v>1384.5</v>
      </c>
      <c r="L928">
        <f t="shared" si="29"/>
        <v>565.5</v>
      </c>
    </row>
    <row r="929" spans="1:12" x14ac:dyDescent="0.3">
      <c r="A929" t="s">
        <v>986</v>
      </c>
      <c r="B929" s="2">
        <v>45720</v>
      </c>
      <c r="C929" t="s">
        <v>63</v>
      </c>
      <c r="D929" t="s">
        <v>25</v>
      </c>
      <c r="E929" t="s">
        <v>35</v>
      </c>
      <c r="F929" t="s">
        <v>26</v>
      </c>
      <c r="G929" t="s">
        <v>69</v>
      </c>
      <c r="H929">
        <v>19</v>
      </c>
      <c r="I929">
        <v>2500</v>
      </c>
      <c r="J929">
        <f t="shared" si="28"/>
        <v>47500</v>
      </c>
      <c r="K929">
        <f>J929*0.73</f>
        <v>34675</v>
      </c>
      <c r="L929">
        <f t="shared" si="29"/>
        <v>12825</v>
      </c>
    </row>
    <row r="930" spans="1:12" x14ac:dyDescent="0.3">
      <c r="A930" t="s">
        <v>987</v>
      </c>
      <c r="B930" s="2">
        <v>45741</v>
      </c>
      <c r="C930" t="s">
        <v>63</v>
      </c>
      <c r="D930" t="s">
        <v>19</v>
      </c>
      <c r="E930" t="s">
        <v>15</v>
      </c>
      <c r="F930" t="s">
        <v>16</v>
      </c>
      <c r="G930" t="s">
        <v>78</v>
      </c>
      <c r="H930">
        <v>12</v>
      </c>
      <c r="I930">
        <v>800</v>
      </c>
      <c r="J930">
        <f t="shared" si="28"/>
        <v>9600</v>
      </c>
      <c r="K930">
        <f>J930*0.75</f>
        <v>7200</v>
      </c>
      <c r="L930">
        <f t="shared" si="29"/>
        <v>2400</v>
      </c>
    </row>
    <row r="931" spans="1:12" x14ac:dyDescent="0.3">
      <c r="A931" t="s">
        <v>988</v>
      </c>
      <c r="B931" s="2">
        <v>45976</v>
      </c>
      <c r="C931" t="s">
        <v>32</v>
      </c>
      <c r="D931" t="s">
        <v>83</v>
      </c>
      <c r="E931" t="s">
        <v>35</v>
      </c>
      <c r="F931" t="s">
        <v>16</v>
      </c>
      <c r="G931" t="s">
        <v>92</v>
      </c>
      <c r="H931">
        <v>10</v>
      </c>
      <c r="I931">
        <v>1200</v>
      </c>
      <c r="J931">
        <f t="shared" si="28"/>
        <v>12000</v>
      </c>
      <c r="K931">
        <f>J931*0.81</f>
        <v>9720</v>
      </c>
      <c r="L931">
        <f t="shared" si="29"/>
        <v>2280</v>
      </c>
    </row>
    <row r="932" spans="1:12" x14ac:dyDescent="0.3">
      <c r="A932" t="s">
        <v>989</v>
      </c>
      <c r="B932" s="2">
        <v>45872</v>
      </c>
      <c r="C932" t="s">
        <v>57</v>
      </c>
      <c r="D932" t="s">
        <v>86</v>
      </c>
      <c r="E932" t="s">
        <v>15</v>
      </c>
      <c r="F932" t="s">
        <v>21</v>
      </c>
      <c r="G932" t="s">
        <v>74</v>
      </c>
      <c r="H932">
        <v>1</v>
      </c>
      <c r="I932">
        <v>12000</v>
      </c>
      <c r="J932">
        <f t="shared" si="28"/>
        <v>12000</v>
      </c>
      <c r="K932">
        <f>J932*0.8</f>
        <v>9600</v>
      </c>
      <c r="L932">
        <f t="shared" si="29"/>
        <v>2400</v>
      </c>
    </row>
    <row r="933" spans="1:12" x14ac:dyDescent="0.3">
      <c r="A933" t="s">
        <v>990</v>
      </c>
      <c r="B933" s="2">
        <v>45912</v>
      </c>
      <c r="C933" t="s">
        <v>13</v>
      </c>
      <c r="D933" t="s">
        <v>86</v>
      </c>
      <c r="E933" t="s">
        <v>35</v>
      </c>
      <c r="F933" t="s">
        <v>26</v>
      </c>
      <c r="G933" t="s">
        <v>69</v>
      </c>
      <c r="H933">
        <v>5</v>
      </c>
      <c r="I933">
        <v>2500</v>
      </c>
      <c r="J933">
        <f t="shared" si="28"/>
        <v>12500</v>
      </c>
      <c r="K933">
        <f>J933*0.75</f>
        <v>9375</v>
      </c>
      <c r="L933">
        <f t="shared" si="29"/>
        <v>3125</v>
      </c>
    </row>
    <row r="934" spans="1:12" x14ac:dyDescent="0.3">
      <c r="A934" t="s">
        <v>991</v>
      </c>
      <c r="B934" s="2">
        <v>45800</v>
      </c>
      <c r="C934" t="s">
        <v>48</v>
      </c>
      <c r="D934" t="s">
        <v>51</v>
      </c>
      <c r="E934" t="s">
        <v>15</v>
      </c>
      <c r="F934" t="s">
        <v>21</v>
      </c>
      <c r="G934" t="s">
        <v>22</v>
      </c>
      <c r="H934">
        <v>8</v>
      </c>
      <c r="I934">
        <v>15000</v>
      </c>
      <c r="J934">
        <f t="shared" si="28"/>
        <v>120000</v>
      </c>
      <c r="K934">
        <f>J934*0.83</f>
        <v>99600</v>
      </c>
      <c r="L934">
        <f t="shared" si="29"/>
        <v>20400</v>
      </c>
    </row>
    <row r="935" spans="1:12" x14ac:dyDescent="0.3">
      <c r="A935" t="s">
        <v>992</v>
      </c>
      <c r="B935" s="2">
        <v>45767</v>
      </c>
      <c r="C935" t="s">
        <v>59</v>
      </c>
      <c r="D935" t="s">
        <v>25</v>
      </c>
      <c r="E935" t="s">
        <v>35</v>
      </c>
      <c r="F935" t="s">
        <v>26</v>
      </c>
      <c r="G935" t="s">
        <v>94</v>
      </c>
      <c r="H935">
        <v>10</v>
      </c>
      <c r="I935">
        <v>28000</v>
      </c>
      <c r="J935">
        <f t="shared" si="28"/>
        <v>280000</v>
      </c>
      <c r="K935">
        <f>J935*0.71</f>
        <v>198800</v>
      </c>
      <c r="L935">
        <f t="shared" si="29"/>
        <v>81200</v>
      </c>
    </row>
    <row r="936" spans="1:12" x14ac:dyDescent="0.3">
      <c r="A936" t="s">
        <v>993</v>
      </c>
      <c r="B936" s="2">
        <v>45943</v>
      </c>
      <c r="C936" t="s">
        <v>38</v>
      </c>
      <c r="D936" t="s">
        <v>83</v>
      </c>
      <c r="E936" t="s">
        <v>35</v>
      </c>
      <c r="F936" t="s">
        <v>16</v>
      </c>
      <c r="G936" t="s">
        <v>36</v>
      </c>
      <c r="H936">
        <v>9</v>
      </c>
      <c r="I936">
        <v>150</v>
      </c>
      <c r="J936">
        <f t="shared" si="28"/>
        <v>1350</v>
      </c>
      <c r="K936">
        <f>J936*0.7</f>
        <v>944.99999999999989</v>
      </c>
      <c r="L936">
        <f t="shared" si="29"/>
        <v>405.00000000000011</v>
      </c>
    </row>
    <row r="937" spans="1:12" x14ac:dyDescent="0.3">
      <c r="A937" t="s">
        <v>994</v>
      </c>
      <c r="B937" s="2">
        <v>45809</v>
      </c>
      <c r="C937" t="s">
        <v>43</v>
      </c>
      <c r="D937" t="s">
        <v>51</v>
      </c>
      <c r="E937" t="s">
        <v>30</v>
      </c>
      <c r="F937" t="s">
        <v>21</v>
      </c>
      <c r="G937" t="s">
        <v>65</v>
      </c>
      <c r="H937">
        <v>15</v>
      </c>
      <c r="I937">
        <v>22000</v>
      </c>
      <c r="J937">
        <f t="shared" si="28"/>
        <v>330000</v>
      </c>
      <c r="K937">
        <f>J937*0.76</f>
        <v>250800</v>
      </c>
      <c r="L937">
        <f t="shared" si="29"/>
        <v>79200</v>
      </c>
    </row>
    <row r="938" spans="1:12" x14ac:dyDescent="0.3">
      <c r="A938" t="s">
        <v>995</v>
      </c>
      <c r="B938" s="2">
        <v>46005</v>
      </c>
      <c r="C938" t="s">
        <v>24</v>
      </c>
      <c r="D938" t="s">
        <v>19</v>
      </c>
      <c r="E938" t="s">
        <v>20</v>
      </c>
      <c r="F938" t="s">
        <v>26</v>
      </c>
      <c r="G938" t="s">
        <v>111</v>
      </c>
      <c r="H938">
        <v>19</v>
      </c>
      <c r="I938">
        <v>85000</v>
      </c>
      <c r="J938">
        <f t="shared" si="28"/>
        <v>1615000</v>
      </c>
      <c r="K938">
        <f>J938*0.84</f>
        <v>1356600</v>
      </c>
      <c r="L938">
        <f t="shared" si="29"/>
        <v>258400</v>
      </c>
    </row>
    <row r="939" spans="1:12" x14ac:dyDescent="0.3">
      <c r="A939" t="s">
        <v>996</v>
      </c>
      <c r="B939" s="2">
        <v>45961</v>
      </c>
      <c r="C939" t="s">
        <v>38</v>
      </c>
      <c r="D939" t="s">
        <v>51</v>
      </c>
      <c r="E939" t="s">
        <v>20</v>
      </c>
      <c r="F939" t="s">
        <v>26</v>
      </c>
      <c r="G939" t="s">
        <v>69</v>
      </c>
      <c r="H939">
        <v>6</v>
      </c>
      <c r="I939">
        <v>2500</v>
      </c>
      <c r="J939">
        <f t="shared" si="28"/>
        <v>15000</v>
      </c>
      <c r="K939">
        <f>J939*0.72</f>
        <v>10800</v>
      </c>
      <c r="L939">
        <f t="shared" si="29"/>
        <v>4200</v>
      </c>
    </row>
    <row r="940" spans="1:12" x14ac:dyDescent="0.3">
      <c r="A940" t="s">
        <v>997</v>
      </c>
      <c r="B940" s="2">
        <v>45800</v>
      </c>
      <c r="C940" t="s">
        <v>48</v>
      </c>
      <c r="D940" t="s">
        <v>33</v>
      </c>
      <c r="E940" t="s">
        <v>35</v>
      </c>
      <c r="F940" t="s">
        <v>21</v>
      </c>
      <c r="G940" t="s">
        <v>54</v>
      </c>
      <c r="H940">
        <v>4</v>
      </c>
      <c r="I940">
        <v>18000</v>
      </c>
      <c r="J940">
        <f t="shared" si="28"/>
        <v>72000</v>
      </c>
      <c r="K940">
        <f>J940*0.8</f>
        <v>57600</v>
      </c>
      <c r="L940">
        <f t="shared" si="29"/>
        <v>14400</v>
      </c>
    </row>
    <row r="941" spans="1:12" x14ac:dyDescent="0.3">
      <c r="A941" t="s">
        <v>998</v>
      </c>
      <c r="B941" s="2">
        <v>46012</v>
      </c>
      <c r="C941" t="s">
        <v>24</v>
      </c>
      <c r="D941" t="s">
        <v>19</v>
      </c>
      <c r="E941" t="s">
        <v>15</v>
      </c>
      <c r="F941" t="s">
        <v>26</v>
      </c>
      <c r="G941" t="s">
        <v>44</v>
      </c>
      <c r="H941">
        <v>15</v>
      </c>
      <c r="I941">
        <v>25000</v>
      </c>
      <c r="J941">
        <f t="shared" si="28"/>
        <v>375000</v>
      </c>
      <c r="K941">
        <f>J941*0.71</f>
        <v>266250</v>
      </c>
      <c r="L941">
        <f t="shared" si="29"/>
        <v>108750</v>
      </c>
    </row>
    <row r="942" spans="1:12" x14ac:dyDescent="0.3">
      <c r="A942" t="s">
        <v>999</v>
      </c>
      <c r="B942" s="2">
        <v>45965</v>
      </c>
      <c r="C942" t="s">
        <v>32</v>
      </c>
      <c r="D942" t="s">
        <v>51</v>
      </c>
      <c r="E942" t="s">
        <v>15</v>
      </c>
      <c r="F942" t="s">
        <v>21</v>
      </c>
      <c r="G942" t="s">
        <v>54</v>
      </c>
      <c r="H942">
        <v>7</v>
      </c>
      <c r="I942">
        <v>18000</v>
      </c>
      <c r="J942">
        <f t="shared" si="28"/>
        <v>126000</v>
      </c>
      <c r="K942">
        <f>J942*0.81</f>
        <v>102060</v>
      </c>
      <c r="L942">
        <f t="shared" si="29"/>
        <v>23940</v>
      </c>
    </row>
    <row r="943" spans="1:12" x14ac:dyDescent="0.3">
      <c r="A943" t="s">
        <v>1000</v>
      </c>
      <c r="B943" s="2">
        <v>45819</v>
      </c>
      <c r="C943" t="s">
        <v>43</v>
      </c>
      <c r="D943" t="s">
        <v>25</v>
      </c>
      <c r="E943" t="s">
        <v>15</v>
      </c>
      <c r="F943" t="s">
        <v>21</v>
      </c>
      <c r="G943" t="s">
        <v>40</v>
      </c>
      <c r="H943">
        <v>12</v>
      </c>
      <c r="I943">
        <v>5000</v>
      </c>
      <c r="J943">
        <f t="shared" si="28"/>
        <v>60000</v>
      </c>
      <c r="K943">
        <f>J943*0.77</f>
        <v>46200</v>
      </c>
      <c r="L943">
        <f t="shared" si="29"/>
        <v>13800</v>
      </c>
    </row>
    <row r="944" spans="1:12" x14ac:dyDescent="0.3">
      <c r="A944" t="s">
        <v>1001</v>
      </c>
      <c r="B944" s="2">
        <v>45807</v>
      </c>
      <c r="C944" t="s">
        <v>48</v>
      </c>
      <c r="D944" t="s">
        <v>19</v>
      </c>
      <c r="E944" t="s">
        <v>35</v>
      </c>
      <c r="F944" t="s">
        <v>21</v>
      </c>
      <c r="G944" t="s">
        <v>54</v>
      </c>
      <c r="H944">
        <v>12</v>
      </c>
      <c r="I944">
        <v>18000</v>
      </c>
      <c r="J944">
        <f t="shared" si="28"/>
        <v>216000</v>
      </c>
      <c r="K944">
        <f>J944*0.75</f>
        <v>162000</v>
      </c>
      <c r="L944">
        <f t="shared" si="29"/>
        <v>54000</v>
      </c>
    </row>
    <row r="945" spans="1:12" x14ac:dyDescent="0.3">
      <c r="A945" t="s">
        <v>1002</v>
      </c>
      <c r="B945" s="2">
        <v>45674</v>
      </c>
      <c r="C945" t="s">
        <v>29</v>
      </c>
      <c r="D945" t="s">
        <v>25</v>
      </c>
      <c r="E945" t="s">
        <v>15</v>
      </c>
      <c r="F945" t="s">
        <v>16</v>
      </c>
      <c r="G945" t="s">
        <v>78</v>
      </c>
      <c r="H945">
        <v>7</v>
      </c>
      <c r="I945">
        <v>800</v>
      </c>
      <c r="J945">
        <f t="shared" si="28"/>
        <v>5600</v>
      </c>
      <c r="K945">
        <f>J945*0.78</f>
        <v>4368</v>
      </c>
      <c r="L945">
        <f t="shared" si="29"/>
        <v>1232</v>
      </c>
    </row>
    <row r="946" spans="1:12" x14ac:dyDescent="0.3">
      <c r="A946" t="s">
        <v>1003</v>
      </c>
      <c r="B946" s="2">
        <v>45993</v>
      </c>
      <c r="C946" t="s">
        <v>24</v>
      </c>
      <c r="D946" t="s">
        <v>86</v>
      </c>
      <c r="E946" t="s">
        <v>20</v>
      </c>
      <c r="F946" t="s">
        <v>21</v>
      </c>
      <c r="G946" t="s">
        <v>22</v>
      </c>
      <c r="H946">
        <v>16</v>
      </c>
      <c r="I946">
        <v>15000</v>
      </c>
      <c r="J946">
        <f t="shared" si="28"/>
        <v>240000</v>
      </c>
      <c r="K946">
        <f>J946*0.78</f>
        <v>187200</v>
      </c>
      <c r="L946">
        <f t="shared" si="29"/>
        <v>52800</v>
      </c>
    </row>
    <row r="947" spans="1:12" x14ac:dyDescent="0.3">
      <c r="A947" t="s">
        <v>1004</v>
      </c>
      <c r="B947" s="2">
        <v>45902</v>
      </c>
      <c r="C947" t="s">
        <v>13</v>
      </c>
      <c r="D947" t="s">
        <v>51</v>
      </c>
      <c r="E947" t="s">
        <v>30</v>
      </c>
      <c r="F947" t="s">
        <v>26</v>
      </c>
      <c r="G947" t="s">
        <v>27</v>
      </c>
      <c r="H947">
        <v>1</v>
      </c>
      <c r="I947">
        <v>45000</v>
      </c>
      <c r="J947">
        <f t="shared" si="28"/>
        <v>45000</v>
      </c>
      <c r="K947">
        <f>J947*0.82</f>
        <v>36900</v>
      </c>
      <c r="L947">
        <f t="shared" si="29"/>
        <v>8100</v>
      </c>
    </row>
    <row r="948" spans="1:12" x14ac:dyDescent="0.3">
      <c r="A948" t="s">
        <v>1005</v>
      </c>
      <c r="B948" s="2">
        <v>45811</v>
      </c>
      <c r="C948" t="s">
        <v>43</v>
      </c>
      <c r="D948" t="s">
        <v>19</v>
      </c>
      <c r="E948" t="s">
        <v>20</v>
      </c>
      <c r="F948" t="s">
        <v>21</v>
      </c>
      <c r="G948" t="s">
        <v>22</v>
      </c>
      <c r="H948">
        <v>5</v>
      </c>
      <c r="I948">
        <v>15000</v>
      </c>
      <c r="J948">
        <f t="shared" si="28"/>
        <v>75000</v>
      </c>
      <c r="K948">
        <f>J948*0.75</f>
        <v>56250</v>
      </c>
      <c r="L948">
        <f t="shared" si="29"/>
        <v>18750</v>
      </c>
    </row>
    <row r="949" spans="1:12" x14ac:dyDescent="0.3">
      <c r="A949" t="s">
        <v>1006</v>
      </c>
      <c r="B949" s="2">
        <v>45961</v>
      </c>
      <c r="C949" t="s">
        <v>38</v>
      </c>
      <c r="D949" t="s">
        <v>25</v>
      </c>
      <c r="E949" t="s">
        <v>20</v>
      </c>
      <c r="F949" t="s">
        <v>16</v>
      </c>
      <c r="G949" t="s">
        <v>60</v>
      </c>
      <c r="H949">
        <v>16</v>
      </c>
      <c r="I949">
        <v>250</v>
      </c>
      <c r="J949">
        <f t="shared" si="28"/>
        <v>4000</v>
      </c>
      <c r="K949">
        <f>J949*0.81</f>
        <v>3240</v>
      </c>
      <c r="L949">
        <f t="shared" si="29"/>
        <v>760</v>
      </c>
    </row>
    <row r="950" spans="1:12" x14ac:dyDescent="0.3">
      <c r="A950" t="s">
        <v>1007</v>
      </c>
      <c r="B950" s="2">
        <v>45918</v>
      </c>
      <c r="C950" t="s">
        <v>13</v>
      </c>
      <c r="D950" t="s">
        <v>25</v>
      </c>
      <c r="E950" t="s">
        <v>35</v>
      </c>
      <c r="F950" t="s">
        <v>16</v>
      </c>
      <c r="G950" t="s">
        <v>60</v>
      </c>
      <c r="H950">
        <v>16</v>
      </c>
      <c r="I950">
        <v>250</v>
      </c>
      <c r="J950">
        <f t="shared" si="28"/>
        <v>4000</v>
      </c>
      <c r="K950">
        <f>J950*0.8</f>
        <v>3200</v>
      </c>
      <c r="L950">
        <f t="shared" si="29"/>
        <v>800</v>
      </c>
    </row>
    <row r="951" spans="1:12" x14ac:dyDescent="0.3">
      <c r="A951" t="s">
        <v>1008</v>
      </c>
      <c r="B951" s="2">
        <v>45851</v>
      </c>
      <c r="C951" t="s">
        <v>76</v>
      </c>
      <c r="D951" t="s">
        <v>39</v>
      </c>
      <c r="E951" t="s">
        <v>20</v>
      </c>
      <c r="F951" t="s">
        <v>26</v>
      </c>
      <c r="G951" t="s">
        <v>44</v>
      </c>
      <c r="H951">
        <v>14</v>
      </c>
      <c r="I951">
        <v>25000</v>
      </c>
      <c r="J951">
        <f t="shared" si="28"/>
        <v>350000</v>
      </c>
      <c r="K951">
        <f>J951*0.81</f>
        <v>283500</v>
      </c>
      <c r="L951">
        <f t="shared" si="29"/>
        <v>66500</v>
      </c>
    </row>
    <row r="952" spans="1:12" x14ac:dyDescent="0.3">
      <c r="A952" t="s">
        <v>1009</v>
      </c>
      <c r="B952" s="2">
        <v>45757</v>
      </c>
      <c r="C952" t="s">
        <v>59</v>
      </c>
      <c r="D952" t="s">
        <v>25</v>
      </c>
      <c r="E952" t="s">
        <v>15</v>
      </c>
      <c r="F952" t="s">
        <v>16</v>
      </c>
      <c r="G952" t="s">
        <v>78</v>
      </c>
      <c r="H952">
        <v>12</v>
      </c>
      <c r="I952">
        <v>800</v>
      </c>
      <c r="J952">
        <f t="shared" si="28"/>
        <v>9600</v>
      </c>
      <c r="K952">
        <f>J952*0.79</f>
        <v>7584</v>
      </c>
      <c r="L952">
        <f t="shared" si="29"/>
        <v>2016</v>
      </c>
    </row>
    <row r="953" spans="1:12" x14ac:dyDescent="0.3">
      <c r="A953" t="s">
        <v>1010</v>
      </c>
      <c r="B953" s="2">
        <v>45777</v>
      </c>
      <c r="C953" t="s">
        <v>59</v>
      </c>
      <c r="D953" t="s">
        <v>19</v>
      </c>
      <c r="E953" t="s">
        <v>35</v>
      </c>
      <c r="F953" t="s">
        <v>16</v>
      </c>
      <c r="G953" t="s">
        <v>92</v>
      </c>
      <c r="H953">
        <v>6</v>
      </c>
      <c r="I953">
        <v>1200</v>
      </c>
      <c r="J953">
        <f t="shared" si="28"/>
        <v>7200</v>
      </c>
      <c r="K953">
        <f>J953*0.74</f>
        <v>5328</v>
      </c>
      <c r="L953">
        <f t="shared" si="29"/>
        <v>1872</v>
      </c>
    </row>
    <row r="954" spans="1:12" x14ac:dyDescent="0.3">
      <c r="A954" t="s">
        <v>1011</v>
      </c>
      <c r="B954" s="2">
        <v>45713</v>
      </c>
      <c r="C954" t="s">
        <v>50</v>
      </c>
      <c r="D954" t="s">
        <v>83</v>
      </c>
      <c r="E954" t="s">
        <v>35</v>
      </c>
      <c r="F954" t="s">
        <v>26</v>
      </c>
      <c r="G954" t="s">
        <v>44</v>
      </c>
      <c r="H954">
        <v>8</v>
      </c>
      <c r="I954">
        <v>25000</v>
      </c>
      <c r="J954">
        <f t="shared" si="28"/>
        <v>200000</v>
      </c>
      <c r="K954">
        <f>J954*0.72</f>
        <v>144000</v>
      </c>
      <c r="L954">
        <f t="shared" si="29"/>
        <v>56000</v>
      </c>
    </row>
    <row r="955" spans="1:12" x14ac:dyDescent="0.3">
      <c r="A955" t="s">
        <v>1012</v>
      </c>
      <c r="B955" s="2">
        <v>45854</v>
      </c>
      <c r="C955" t="s">
        <v>76</v>
      </c>
      <c r="D955" t="s">
        <v>86</v>
      </c>
      <c r="E955" t="s">
        <v>15</v>
      </c>
      <c r="F955" t="s">
        <v>21</v>
      </c>
      <c r="G955" t="s">
        <v>22</v>
      </c>
      <c r="H955">
        <v>5</v>
      </c>
      <c r="I955">
        <v>15000</v>
      </c>
      <c r="J955">
        <f t="shared" si="28"/>
        <v>75000</v>
      </c>
      <c r="K955">
        <f>J955*0.81</f>
        <v>60750.000000000007</v>
      </c>
      <c r="L955">
        <f t="shared" si="29"/>
        <v>14249.999999999993</v>
      </c>
    </row>
    <row r="956" spans="1:12" x14ac:dyDescent="0.3">
      <c r="A956" t="s">
        <v>1013</v>
      </c>
      <c r="B956" s="2">
        <v>45779</v>
      </c>
      <c r="C956" t="s">
        <v>48</v>
      </c>
      <c r="D956" t="s">
        <v>19</v>
      </c>
      <c r="E956" t="s">
        <v>15</v>
      </c>
      <c r="F956" t="s">
        <v>21</v>
      </c>
      <c r="G956" t="s">
        <v>22</v>
      </c>
      <c r="H956">
        <v>15</v>
      </c>
      <c r="I956">
        <v>15000</v>
      </c>
      <c r="J956">
        <f t="shared" si="28"/>
        <v>225000</v>
      </c>
      <c r="K956">
        <f>J956*0.75</f>
        <v>168750</v>
      </c>
      <c r="L956">
        <f t="shared" si="29"/>
        <v>56250</v>
      </c>
    </row>
    <row r="957" spans="1:12" x14ac:dyDescent="0.3">
      <c r="A957" t="s">
        <v>1014</v>
      </c>
      <c r="B957" s="2">
        <v>45694</v>
      </c>
      <c r="C957" t="s">
        <v>50</v>
      </c>
      <c r="D957" t="s">
        <v>33</v>
      </c>
      <c r="E957" t="s">
        <v>30</v>
      </c>
      <c r="F957" t="s">
        <v>21</v>
      </c>
      <c r="G957" t="s">
        <v>40</v>
      </c>
      <c r="H957">
        <v>17</v>
      </c>
      <c r="I957">
        <v>5000</v>
      </c>
      <c r="J957">
        <f t="shared" si="28"/>
        <v>85000</v>
      </c>
      <c r="K957">
        <f>J957*0.78</f>
        <v>66300</v>
      </c>
      <c r="L957">
        <f t="shared" si="29"/>
        <v>18700</v>
      </c>
    </row>
    <row r="958" spans="1:12" x14ac:dyDescent="0.3">
      <c r="A958" t="s">
        <v>1015</v>
      </c>
      <c r="B958" s="2">
        <v>46009</v>
      </c>
      <c r="C958" t="s">
        <v>24</v>
      </c>
      <c r="D958" t="s">
        <v>33</v>
      </c>
      <c r="E958" t="s">
        <v>46</v>
      </c>
      <c r="F958" t="s">
        <v>26</v>
      </c>
      <c r="G958" t="s">
        <v>111</v>
      </c>
      <c r="H958">
        <v>15</v>
      </c>
      <c r="I958">
        <v>85000</v>
      </c>
      <c r="J958">
        <f t="shared" si="28"/>
        <v>1275000</v>
      </c>
      <c r="K958">
        <f>J958*0.73</f>
        <v>930750</v>
      </c>
      <c r="L958">
        <f t="shared" si="29"/>
        <v>344250</v>
      </c>
    </row>
    <row r="959" spans="1:12" x14ac:dyDescent="0.3">
      <c r="A959" t="s">
        <v>1016</v>
      </c>
      <c r="B959" s="2">
        <v>45699</v>
      </c>
      <c r="C959" t="s">
        <v>50</v>
      </c>
      <c r="D959" t="s">
        <v>86</v>
      </c>
      <c r="E959" t="s">
        <v>30</v>
      </c>
      <c r="F959" t="s">
        <v>26</v>
      </c>
      <c r="G959" t="s">
        <v>27</v>
      </c>
      <c r="H959">
        <v>8</v>
      </c>
      <c r="I959">
        <v>45000</v>
      </c>
      <c r="J959">
        <f t="shared" si="28"/>
        <v>360000</v>
      </c>
      <c r="K959">
        <f>J959*0.76</f>
        <v>273600</v>
      </c>
      <c r="L959">
        <f t="shared" si="29"/>
        <v>86400</v>
      </c>
    </row>
    <row r="960" spans="1:12" x14ac:dyDescent="0.3">
      <c r="A960" t="s">
        <v>1017</v>
      </c>
      <c r="B960" s="2">
        <v>45884</v>
      </c>
      <c r="C960" t="s">
        <v>57</v>
      </c>
      <c r="D960" t="s">
        <v>25</v>
      </c>
      <c r="E960" t="s">
        <v>15</v>
      </c>
      <c r="F960" t="s">
        <v>26</v>
      </c>
      <c r="G960" t="s">
        <v>27</v>
      </c>
      <c r="H960">
        <v>4</v>
      </c>
      <c r="I960">
        <v>45000</v>
      </c>
      <c r="J960">
        <f t="shared" si="28"/>
        <v>180000</v>
      </c>
      <c r="K960">
        <f>J960*0.83</f>
        <v>149400</v>
      </c>
      <c r="L960">
        <f t="shared" si="29"/>
        <v>30600</v>
      </c>
    </row>
    <row r="961" spans="1:12" x14ac:dyDescent="0.3">
      <c r="A961" t="s">
        <v>1018</v>
      </c>
      <c r="B961" s="2">
        <v>45694</v>
      </c>
      <c r="C961" t="s">
        <v>50</v>
      </c>
      <c r="D961" t="s">
        <v>51</v>
      </c>
      <c r="E961" t="s">
        <v>46</v>
      </c>
      <c r="F961" t="s">
        <v>26</v>
      </c>
      <c r="G961" t="s">
        <v>111</v>
      </c>
      <c r="H961">
        <v>17</v>
      </c>
      <c r="I961">
        <v>85000</v>
      </c>
      <c r="J961">
        <f t="shared" si="28"/>
        <v>1445000</v>
      </c>
      <c r="K961">
        <f>J961*0.79</f>
        <v>1141550</v>
      </c>
      <c r="L961">
        <f t="shared" si="29"/>
        <v>303450</v>
      </c>
    </row>
    <row r="962" spans="1:12" x14ac:dyDescent="0.3">
      <c r="A962" t="s">
        <v>1019</v>
      </c>
      <c r="B962" s="2">
        <v>45829</v>
      </c>
      <c r="C962" t="s">
        <v>43</v>
      </c>
      <c r="D962" t="s">
        <v>86</v>
      </c>
      <c r="E962" t="s">
        <v>15</v>
      </c>
      <c r="F962" t="s">
        <v>21</v>
      </c>
      <c r="G962" t="s">
        <v>54</v>
      </c>
      <c r="H962">
        <v>1</v>
      </c>
      <c r="I962">
        <v>18000</v>
      </c>
      <c r="J962">
        <f t="shared" ref="J962:J1001" si="30">H962*I962</f>
        <v>18000</v>
      </c>
      <c r="K962">
        <f>J962*0.77</f>
        <v>13860</v>
      </c>
      <c r="L962">
        <f t="shared" ref="L962:L1001" si="31">J962-K962</f>
        <v>4140</v>
      </c>
    </row>
    <row r="963" spans="1:12" x14ac:dyDescent="0.3">
      <c r="A963" t="s">
        <v>1020</v>
      </c>
      <c r="B963" s="2">
        <v>45896</v>
      </c>
      <c r="C963" t="s">
        <v>57</v>
      </c>
      <c r="D963" t="s">
        <v>86</v>
      </c>
      <c r="E963" t="s">
        <v>30</v>
      </c>
      <c r="F963" t="s">
        <v>16</v>
      </c>
      <c r="G963" t="s">
        <v>78</v>
      </c>
      <c r="H963">
        <v>19</v>
      </c>
      <c r="I963">
        <v>800</v>
      </c>
      <c r="J963">
        <f t="shared" si="30"/>
        <v>15200</v>
      </c>
      <c r="K963">
        <f>J963*0.73</f>
        <v>11096</v>
      </c>
      <c r="L963">
        <f t="shared" si="31"/>
        <v>4104</v>
      </c>
    </row>
    <row r="964" spans="1:12" x14ac:dyDescent="0.3">
      <c r="A964" t="s">
        <v>1021</v>
      </c>
      <c r="B964" s="2">
        <v>45943</v>
      </c>
      <c r="C964" t="s">
        <v>38</v>
      </c>
      <c r="D964" t="s">
        <v>33</v>
      </c>
      <c r="E964" t="s">
        <v>15</v>
      </c>
      <c r="F964" t="s">
        <v>26</v>
      </c>
      <c r="G964" t="s">
        <v>94</v>
      </c>
      <c r="H964">
        <v>8</v>
      </c>
      <c r="I964">
        <v>28000</v>
      </c>
      <c r="J964">
        <f t="shared" si="30"/>
        <v>224000</v>
      </c>
      <c r="K964">
        <f>J964*0.72</f>
        <v>161280</v>
      </c>
      <c r="L964">
        <f t="shared" si="31"/>
        <v>62720</v>
      </c>
    </row>
    <row r="965" spans="1:12" x14ac:dyDescent="0.3">
      <c r="A965" t="s">
        <v>1022</v>
      </c>
      <c r="B965" s="2">
        <v>45682</v>
      </c>
      <c r="C965" t="s">
        <v>29</v>
      </c>
      <c r="D965" t="s">
        <v>19</v>
      </c>
      <c r="E965" t="s">
        <v>30</v>
      </c>
      <c r="F965" t="s">
        <v>16</v>
      </c>
      <c r="G965" t="s">
        <v>17</v>
      </c>
      <c r="H965">
        <v>12</v>
      </c>
      <c r="I965">
        <v>300</v>
      </c>
      <c r="J965">
        <f t="shared" si="30"/>
        <v>3600</v>
      </c>
      <c r="K965">
        <f>J965*0.8</f>
        <v>2880</v>
      </c>
      <c r="L965">
        <f t="shared" si="31"/>
        <v>720</v>
      </c>
    </row>
    <row r="966" spans="1:12" x14ac:dyDescent="0.3">
      <c r="A966" t="s">
        <v>1023</v>
      </c>
      <c r="B966" s="2">
        <v>45668</v>
      </c>
      <c r="C966" t="s">
        <v>29</v>
      </c>
      <c r="D966" t="s">
        <v>86</v>
      </c>
      <c r="E966" t="s">
        <v>35</v>
      </c>
      <c r="F966" t="s">
        <v>26</v>
      </c>
      <c r="G966" t="s">
        <v>27</v>
      </c>
      <c r="H966">
        <v>17</v>
      </c>
      <c r="I966">
        <v>45000</v>
      </c>
      <c r="J966">
        <f t="shared" si="30"/>
        <v>765000</v>
      </c>
      <c r="K966">
        <f>J966*0.77</f>
        <v>589050</v>
      </c>
      <c r="L966">
        <f t="shared" si="31"/>
        <v>175950</v>
      </c>
    </row>
    <row r="967" spans="1:12" x14ac:dyDescent="0.3">
      <c r="A967" t="s">
        <v>1024</v>
      </c>
      <c r="B967" s="2">
        <v>45715</v>
      </c>
      <c r="C967" t="s">
        <v>50</v>
      </c>
      <c r="D967" t="s">
        <v>19</v>
      </c>
      <c r="E967" t="s">
        <v>15</v>
      </c>
      <c r="F967" t="s">
        <v>21</v>
      </c>
      <c r="G967" t="s">
        <v>22</v>
      </c>
      <c r="H967">
        <v>13</v>
      </c>
      <c r="I967">
        <v>15000</v>
      </c>
      <c r="J967">
        <f t="shared" si="30"/>
        <v>195000</v>
      </c>
      <c r="K967">
        <f>J967*0.77</f>
        <v>150150</v>
      </c>
      <c r="L967">
        <f t="shared" si="31"/>
        <v>44850</v>
      </c>
    </row>
    <row r="968" spans="1:12" x14ac:dyDescent="0.3">
      <c r="A968" t="s">
        <v>1025</v>
      </c>
      <c r="B968" s="2">
        <v>45830</v>
      </c>
      <c r="C968" t="s">
        <v>43</v>
      </c>
      <c r="D968" t="s">
        <v>39</v>
      </c>
      <c r="E968" t="s">
        <v>30</v>
      </c>
      <c r="F968" t="s">
        <v>21</v>
      </c>
      <c r="G968" t="s">
        <v>40</v>
      </c>
      <c r="H968">
        <v>7</v>
      </c>
      <c r="I968">
        <v>5000</v>
      </c>
      <c r="J968">
        <f t="shared" si="30"/>
        <v>35000</v>
      </c>
      <c r="K968">
        <f>J968*0.85</f>
        <v>29750</v>
      </c>
      <c r="L968">
        <f t="shared" si="31"/>
        <v>5250</v>
      </c>
    </row>
    <row r="969" spans="1:12" x14ac:dyDescent="0.3">
      <c r="A969" t="s">
        <v>1026</v>
      </c>
      <c r="B969" s="2">
        <v>45796</v>
      </c>
      <c r="C969" t="s">
        <v>48</v>
      </c>
      <c r="D969" t="s">
        <v>86</v>
      </c>
      <c r="E969" t="s">
        <v>20</v>
      </c>
      <c r="F969" t="s">
        <v>21</v>
      </c>
      <c r="G969" t="s">
        <v>22</v>
      </c>
      <c r="H969">
        <v>4</v>
      </c>
      <c r="I969">
        <v>15000</v>
      </c>
      <c r="J969">
        <f t="shared" si="30"/>
        <v>60000</v>
      </c>
      <c r="K969">
        <f>J969*0.85</f>
        <v>51000</v>
      </c>
      <c r="L969">
        <f t="shared" si="31"/>
        <v>9000</v>
      </c>
    </row>
    <row r="970" spans="1:12" x14ac:dyDescent="0.3">
      <c r="A970" t="s">
        <v>1027</v>
      </c>
      <c r="B970" s="2">
        <v>45877</v>
      </c>
      <c r="C970" t="s">
        <v>57</v>
      </c>
      <c r="D970" t="s">
        <v>19</v>
      </c>
      <c r="E970" t="s">
        <v>46</v>
      </c>
      <c r="F970" t="s">
        <v>26</v>
      </c>
      <c r="G970" t="s">
        <v>44</v>
      </c>
      <c r="H970">
        <v>8</v>
      </c>
      <c r="I970">
        <v>25000</v>
      </c>
      <c r="J970">
        <f t="shared" si="30"/>
        <v>200000</v>
      </c>
      <c r="K970">
        <f>J970*0.78</f>
        <v>156000</v>
      </c>
      <c r="L970">
        <f t="shared" si="31"/>
        <v>44000</v>
      </c>
    </row>
    <row r="971" spans="1:12" x14ac:dyDescent="0.3">
      <c r="A971" t="s">
        <v>1028</v>
      </c>
      <c r="B971" s="2">
        <v>45981</v>
      </c>
      <c r="C971" t="s">
        <v>32</v>
      </c>
      <c r="D971" t="s">
        <v>39</v>
      </c>
      <c r="E971" t="s">
        <v>46</v>
      </c>
      <c r="F971" t="s">
        <v>16</v>
      </c>
      <c r="G971" t="s">
        <v>36</v>
      </c>
      <c r="H971">
        <v>4</v>
      </c>
      <c r="I971">
        <v>150</v>
      </c>
      <c r="J971">
        <f t="shared" si="30"/>
        <v>600</v>
      </c>
      <c r="K971">
        <f>J971*0.71</f>
        <v>426</v>
      </c>
      <c r="L971">
        <f t="shared" si="31"/>
        <v>174</v>
      </c>
    </row>
    <row r="972" spans="1:12" x14ac:dyDescent="0.3">
      <c r="A972" t="s">
        <v>1029</v>
      </c>
      <c r="B972" s="2">
        <v>45841</v>
      </c>
      <c r="C972" t="s">
        <v>76</v>
      </c>
      <c r="D972" t="s">
        <v>14</v>
      </c>
      <c r="E972" t="s">
        <v>15</v>
      </c>
      <c r="F972" t="s">
        <v>21</v>
      </c>
      <c r="G972" t="s">
        <v>22</v>
      </c>
      <c r="H972">
        <v>19</v>
      </c>
      <c r="I972">
        <v>15000</v>
      </c>
      <c r="J972">
        <f t="shared" si="30"/>
        <v>285000</v>
      </c>
      <c r="K972">
        <f>J972*0.81</f>
        <v>230850.00000000003</v>
      </c>
      <c r="L972">
        <f t="shared" si="31"/>
        <v>54149.999999999971</v>
      </c>
    </row>
    <row r="973" spans="1:12" x14ac:dyDescent="0.3">
      <c r="A973" t="s">
        <v>1030</v>
      </c>
      <c r="B973" s="2">
        <v>45940</v>
      </c>
      <c r="C973" t="s">
        <v>38</v>
      </c>
      <c r="D973" t="s">
        <v>33</v>
      </c>
      <c r="E973" t="s">
        <v>30</v>
      </c>
      <c r="F973" t="s">
        <v>26</v>
      </c>
      <c r="G973" t="s">
        <v>44</v>
      </c>
      <c r="H973">
        <v>8</v>
      </c>
      <c r="I973">
        <v>25000</v>
      </c>
      <c r="J973">
        <f t="shared" si="30"/>
        <v>200000</v>
      </c>
      <c r="K973">
        <f>J973*0.81</f>
        <v>162000</v>
      </c>
      <c r="L973">
        <f t="shared" si="31"/>
        <v>38000</v>
      </c>
    </row>
    <row r="974" spans="1:12" x14ac:dyDescent="0.3">
      <c r="A974" t="s">
        <v>1031</v>
      </c>
      <c r="B974" s="2">
        <v>46002</v>
      </c>
      <c r="C974" t="s">
        <v>24</v>
      </c>
      <c r="D974" t="s">
        <v>39</v>
      </c>
      <c r="E974" t="s">
        <v>46</v>
      </c>
      <c r="F974" t="s">
        <v>26</v>
      </c>
      <c r="G974" t="s">
        <v>94</v>
      </c>
      <c r="H974">
        <v>1</v>
      </c>
      <c r="I974">
        <v>28000</v>
      </c>
      <c r="J974">
        <f t="shared" si="30"/>
        <v>28000</v>
      </c>
      <c r="K974">
        <f>J974*0.72</f>
        <v>20160</v>
      </c>
      <c r="L974">
        <f t="shared" si="31"/>
        <v>7840</v>
      </c>
    </row>
    <row r="975" spans="1:12" x14ac:dyDescent="0.3">
      <c r="A975" t="s">
        <v>1032</v>
      </c>
      <c r="B975" s="2">
        <v>45967</v>
      </c>
      <c r="C975" t="s">
        <v>32</v>
      </c>
      <c r="D975" t="s">
        <v>51</v>
      </c>
      <c r="E975" t="s">
        <v>46</v>
      </c>
      <c r="F975" t="s">
        <v>16</v>
      </c>
      <c r="G975" t="s">
        <v>60</v>
      </c>
      <c r="H975">
        <v>7</v>
      </c>
      <c r="I975">
        <v>250</v>
      </c>
      <c r="J975">
        <f t="shared" si="30"/>
        <v>1750</v>
      </c>
      <c r="K975">
        <f>J975*0.77</f>
        <v>1347.5</v>
      </c>
      <c r="L975">
        <f t="shared" si="31"/>
        <v>402.5</v>
      </c>
    </row>
    <row r="976" spans="1:12" x14ac:dyDescent="0.3">
      <c r="A976" t="s">
        <v>1033</v>
      </c>
      <c r="B976" s="2">
        <v>46007</v>
      </c>
      <c r="C976" t="s">
        <v>24</v>
      </c>
      <c r="D976" t="s">
        <v>14</v>
      </c>
      <c r="E976" t="s">
        <v>20</v>
      </c>
      <c r="F976" t="s">
        <v>26</v>
      </c>
      <c r="G976" t="s">
        <v>127</v>
      </c>
      <c r="H976">
        <v>5</v>
      </c>
      <c r="I976">
        <v>1500</v>
      </c>
      <c r="J976">
        <f t="shared" si="30"/>
        <v>7500</v>
      </c>
      <c r="K976">
        <f>J976*0.79</f>
        <v>5925</v>
      </c>
      <c r="L976">
        <f t="shared" si="31"/>
        <v>1575</v>
      </c>
    </row>
    <row r="977" spans="1:12" x14ac:dyDescent="0.3">
      <c r="A977" t="s">
        <v>1034</v>
      </c>
      <c r="B977" s="2">
        <v>45680</v>
      </c>
      <c r="C977" t="s">
        <v>29</v>
      </c>
      <c r="D977" t="s">
        <v>39</v>
      </c>
      <c r="E977" t="s">
        <v>46</v>
      </c>
      <c r="F977" t="s">
        <v>26</v>
      </c>
      <c r="G977" t="s">
        <v>44</v>
      </c>
      <c r="H977">
        <v>10</v>
      </c>
      <c r="I977">
        <v>25000</v>
      </c>
      <c r="J977">
        <f t="shared" si="30"/>
        <v>250000</v>
      </c>
      <c r="K977">
        <f>J977*0.82</f>
        <v>205000</v>
      </c>
      <c r="L977">
        <f t="shared" si="31"/>
        <v>45000</v>
      </c>
    </row>
    <row r="978" spans="1:12" x14ac:dyDescent="0.3">
      <c r="A978" t="s">
        <v>1035</v>
      </c>
      <c r="B978" s="2">
        <v>45752</v>
      </c>
      <c r="C978" t="s">
        <v>59</v>
      </c>
      <c r="D978" t="s">
        <v>83</v>
      </c>
      <c r="E978" t="s">
        <v>30</v>
      </c>
      <c r="F978" t="s">
        <v>21</v>
      </c>
      <c r="G978" t="s">
        <v>65</v>
      </c>
      <c r="H978">
        <v>10</v>
      </c>
      <c r="I978">
        <v>22000</v>
      </c>
      <c r="J978">
        <f t="shared" si="30"/>
        <v>220000</v>
      </c>
      <c r="K978">
        <f>J978*0.83</f>
        <v>182600</v>
      </c>
      <c r="L978">
        <f t="shared" si="31"/>
        <v>37400</v>
      </c>
    </row>
    <row r="979" spans="1:12" x14ac:dyDescent="0.3">
      <c r="A979" t="s">
        <v>1036</v>
      </c>
      <c r="B979" s="2">
        <v>45713</v>
      </c>
      <c r="C979" t="s">
        <v>50</v>
      </c>
      <c r="D979" t="s">
        <v>83</v>
      </c>
      <c r="E979" t="s">
        <v>20</v>
      </c>
      <c r="F979" t="s">
        <v>26</v>
      </c>
      <c r="G979" t="s">
        <v>27</v>
      </c>
      <c r="H979">
        <v>3</v>
      </c>
      <c r="I979">
        <v>45000</v>
      </c>
      <c r="J979">
        <f t="shared" si="30"/>
        <v>135000</v>
      </c>
      <c r="K979">
        <f>J979*0.8</f>
        <v>108000</v>
      </c>
      <c r="L979">
        <f t="shared" si="31"/>
        <v>27000</v>
      </c>
    </row>
    <row r="980" spans="1:12" x14ac:dyDescent="0.3">
      <c r="A980" t="s">
        <v>1037</v>
      </c>
      <c r="B980" s="2">
        <v>45750</v>
      </c>
      <c r="C980" t="s">
        <v>59</v>
      </c>
      <c r="D980" t="s">
        <v>72</v>
      </c>
      <c r="E980" t="s">
        <v>20</v>
      </c>
      <c r="F980" t="s">
        <v>21</v>
      </c>
      <c r="G980" t="s">
        <v>40</v>
      </c>
      <c r="H980">
        <v>7</v>
      </c>
      <c r="I980">
        <v>5000</v>
      </c>
      <c r="J980">
        <f t="shared" si="30"/>
        <v>35000</v>
      </c>
      <c r="K980">
        <f>J980*0.73</f>
        <v>25550</v>
      </c>
      <c r="L980">
        <f t="shared" si="31"/>
        <v>9450</v>
      </c>
    </row>
    <row r="981" spans="1:12" x14ac:dyDescent="0.3">
      <c r="A981" t="s">
        <v>1038</v>
      </c>
      <c r="B981" s="2">
        <v>45690</v>
      </c>
      <c r="C981" t="s">
        <v>50</v>
      </c>
      <c r="D981" t="s">
        <v>33</v>
      </c>
      <c r="E981" t="s">
        <v>20</v>
      </c>
      <c r="F981" t="s">
        <v>26</v>
      </c>
      <c r="G981" t="s">
        <v>27</v>
      </c>
      <c r="H981">
        <v>6</v>
      </c>
      <c r="I981">
        <v>45000</v>
      </c>
      <c r="J981">
        <f t="shared" si="30"/>
        <v>270000</v>
      </c>
      <c r="K981">
        <f>J981*0.84</f>
        <v>226800</v>
      </c>
      <c r="L981">
        <f t="shared" si="31"/>
        <v>43200</v>
      </c>
    </row>
    <row r="982" spans="1:12" x14ac:dyDescent="0.3">
      <c r="A982" t="s">
        <v>1039</v>
      </c>
      <c r="B982" s="2">
        <v>45745</v>
      </c>
      <c r="C982" t="s">
        <v>63</v>
      </c>
      <c r="D982" t="s">
        <v>14</v>
      </c>
      <c r="E982" t="s">
        <v>15</v>
      </c>
      <c r="F982" t="s">
        <v>21</v>
      </c>
      <c r="G982" t="s">
        <v>65</v>
      </c>
      <c r="H982">
        <v>20</v>
      </c>
      <c r="I982">
        <v>22000</v>
      </c>
      <c r="J982">
        <f t="shared" si="30"/>
        <v>440000</v>
      </c>
      <c r="K982">
        <f>J982*0.83</f>
        <v>365200</v>
      </c>
      <c r="L982">
        <f t="shared" si="31"/>
        <v>74800</v>
      </c>
    </row>
    <row r="983" spans="1:12" x14ac:dyDescent="0.3">
      <c r="A983" t="s">
        <v>1040</v>
      </c>
      <c r="B983" s="2">
        <v>45721</v>
      </c>
      <c r="C983" t="s">
        <v>63</v>
      </c>
      <c r="D983" t="s">
        <v>83</v>
      </c>
      <c r="E983" t="s">
        <v>15</v>
      </c>
      <c r="F983" t="s">
        <v>26</v>
      </c>
      <c r="G983" t="s">
        <v>44</v>
      </c>
      <c r="H983">
        <v>11</v>
      </c>
      <c r="I983">
        <v>25000</v>
      </c>
      <c r="J983">
        <f t="shared" si="30"/>
        <v>275000</v>
      </c>
      <c r="K983">
        <f>J983*0.76</f>
        <v>209000</v>
      </c>
      <c r="L983">
        <f t="shared" si="31"/>
        <v>66000</v>
      </c>
    </row>
    <row r="984" spans="1:12" x14ac:dyDescent="0.3">
      <c r="A984" t="s">
        <v>1041</v>
      </c>
      <c r="B984" s="2">
        <v>45702</v>
      </c>
      <c r="C984" t="s">
        <v>50</v>
      </c>
      <c r="D984" t="s">
        <v>83</v>
      </c>
      <c r="E984" t="s">
        <v>30</v>
      </c>
      <c r="F984" t="s">
        <v>16</v>
      </c>
      <c r="G984" t="s">
        <v>17</v>
      </c>
      <c r="H984">
        <v>10</v>
      </c>
      <c r="I984">
        <v>300</v>
      </c>
      <c r="J984">
        <f t="shared" si="30"/>
        <v>3000</v>
      </c>
      <c r="K984">
        <f>J984*0.72</f>
        <v>2160</v>
      </c>
      <c r="L984">
        <f t="shared" si="31"/>
        <v>840</v>
      </c>
    </row>
    <row r="985" spans="1:12" x14ac:dyDescent="0.3">
      <c r="A985" t="s">
        <v>1042</v>
      </c>
      <c r="B985" s="2">
        <v>45695</v>
      </c>
      <c r="C985" t="s">
        <v>50</v>
      </c>
      <c r="D985" t="s">
        <v>51</v>
      </c>
      <c r="E985" t="s">
        <v>20</v>
      </c>
      <c r="F985" t="s">
        <v>16</v>
      </c>
      <c r="G985" t="s">
        <v>60</v>
      </c>
      <c r="H985">
        <v>4</v>
      </c>
      <c r="I985">
        <v>250</v>
      </c>
      <c r="J985">
        <f t="shared" si="30"/>
        <v>1000</v>
      </c>
      <c r="K985">
        <f>J985*0.84</f>
        <v>840</v>
      </c>
      <c r="L985">
        <f t="shared" si="31"/>
        <v>160</v>
      </c>
    </row>
    <row r="986" spans="1:12" x14ac:dyDescent="0.3">
      <c r="A986" t="s">
        <v>1043</v>
      </c>
      <c r="B986" s="2">
        <v>45905</v>
      </c>
      <c r="C986" t="s">
        <v>13</v>
      </c>
      <c r="D986" t="s">
        <v>86</v>
      </c>
      <c r="E986" t="s">
        <v>46</v>
      </c>
      <c r="F986" t="s">
        <v>21</v>
      </c>
      <c r="G986" t="s">
        <v>40</v>
      </c>
      <c r="H986">
        <v>18</v>
      </c>
      <c r="I986">
        <v>5000</v>
      </c>
      <c r="J986">
        <f t="shared" si="30"/>
        <v>90000</v>
      </c>
      <c r="K986">
        <f>J986*0.8</f>
        <v>72000</v>
      </c>
      <c r="L986">
        <f t="shared" si="31"/>
        <v>18000</v>
      </c>
    </row>
    <row r="987" spans="1:12" x14ac:dyDescent="0.3">
      <c r="A987" t="s">
        <v>1044</v>
      </c>
      <c r="B987" s="2">
        <v>45971</v>
      </c>
      <c r="C987" t="s">
        <v>32</v>
      </c>
      <c r="D987" t="s">
        <v>86</v>
      </c>
      <c r="E987" t="s">
        <v>15</v>
      </c>
      <c r="F987" t="s">
        <v>26</v>
      </c>
      <c r="G987" t="s">
        <v>111</v>
      </c>
      <c r="H987">
        <v>2</v>
      </c>
      <c r="I987">
        <v>85000</v>
      </c>
      <c r="J987">
        <f t="shared" si="30"/>
        <v>170000</v>
      </c>
      <c r="K987">
        <f>J987*0.76</f>
        <v>129200</v>
      </c>
      <c r="L987">
        <f t="shared" si="31"/>
        <v>40800</v>
      </c>
    </row>
    <row r="988" spans="1:12" x14ac:dyDescent="0.3">
      <c r="A988" t="s">
        <v>1045</v>
      </c>
      <c r="B988" s="2">
        <v>45947</v>
      </c>
      <c r="C988" t="s">
        <v>38</v>
      </c>
      <c r="D988" t="s">
        <v>39</v>
      </c>
      <c r="E988" t="s">
        <v>30</v>
      </c>
      <c r="F988" t="s">
        <v>16</v>
      </c>
      <c r="G988" t="s">
        <v>60</v>
      </c>
      <c r="H988">
        <v>7</v>
      </c>
      <c r="I988">
        <v>250</v>
      </c>
      <c r="J988">
        <f t="shared" si="30"/>
        <v>1750</v>
      </c>
      <c r="K988">
        <f>J988*0.71</f>
        <v>1242.5</v>
      </c>
      <c r="L988">
        <f t="shared" si="31"/>
        <v>507.5</v>
      </c>
    </row>
    <row r="989" spans="1:12" x14ac:dyDescent="0.3">
      <c r="A989" t="s">
        <v>1046</v>
      </c>
      <c r="B989" s="2">
        <v>45760</v>
      </c>
      <c r="C989" t="s">
        <v>59</v>
      </c>
      <c r="D989" t="s">
        <v>51</v>
      </c>
      <c r="E989" t="s">
        <v>15</v>
      </c>
      <c r="F989" t="s">
        <v>21</v>
      </c>
      <c r="G989" t="s">
        <v>65</v>
      </c>
      <c r="H989">
        <v>8</v>
      </c>
      <c r="I989">
        <v>22000</v>
      </c>
      <c r="J989">
        <f t="shared" si="30"/>
        <v>176000</v>
      </c>
      <c r="K989">
        <f>J989*0.72</f>
        <v>126720</v>
      </c>
      <c r="L989">
        <f t="shared" si="31"/>
        <v>49280</v>
      </c>
    </row>
    <row r="990" spans="1:12" x14ac:dyDescent="0.3">
      <c r="A990" t="s">
        <v>1047</v>
      </c>
      <c r="B990" s="2">
        <v>45912</v>
      </c>
      <c r="C990" t="s">
        <v>13</v>
      </c>
      <c r="D990" t="s">
        <v>83</v>
      </c>
      <c r="E990" t="s">
        <v>46</v>
      </c>
      <c r="F990" t="s">
        <v>26</v>
      </c>
      <c r="G990" t="s">
        <v>52</v>
      </c>
      <c r="H990">
        <v>11</v>
      </c>
      <c r="I990">
        <v>35000</v>
      </c>
      <c r="J990">
        <f t="shared" si="30"/>
        <v>385000</v>
      </c>
      <c r="K990">
        <f>J990*0.84</f>
        <v>323400</v>
      </c>
      <c r="L990">
        <f t="shared" si="31"/>
        <v>61600</v>
      </c>
    </row>
    <row r="991" spans="1:12" x14ac:dyDescent="0.3">
      <c r="A991" t="s">
        <v>1048</v>
      </c>
      <c r="B991" s="2">
        <v>45821</v>
      </c>
      <c r="C991" t="s">
        <v>43</v>
      </c>
      <c r="D991" t="s">
        <v>86</v>
      </c>
      <c r="E991" t="s">
        <v>30</v>
      </c>
      <c r="F991" t="s">
        <v>21</v>
      </c>
      <c r="G991" t="s">
        <v>40</v>
      </c>
      <c r="H991">
        <v>8</v>
      </c>
      <c r="I991">
        <v>5000</v>
      </c>
      <c r="J991">
        <f t="shared" si="30"/>
        <v>40000</v>
      </c>
      <c r="K991">
        <f>J991*0.81</f>
        <v>32400.000000000004</v>
      </c>
      <c r="L991">
        <f t="shared" si="31"/>
        <v>7599.9999999999964</v>
      </c>
    </row>
    <row r="992" spans="1:12" x14ac:dyDescent="0.3">
      <c r="A992" t="s">
        <v>1049</v>
      </c>
      <c r="B992" s="2">
        <v>45910</v>
      </c>
      <c r="C992" t="s">
        <v>13</v>
      </c>
      <c r="D992" t="s">
        <v>51</v>
      </c>
      <c r="E992" t="s">
        <v>20</v>
      </c>
      <c r="F992" t="s">
        <v>26</v>
      </c>
      <c r="G992" t="s">
        <v>111</v>
      </c>
      <c r="H992">
        <v>8</v>
      </c>
      <c r="I992">
        <v>85000</v>
      </c>
      <c r="J992">
        <f t="shared" si="30"/>
        <v>680000</v>
      </c>
      <c r="K992">
        <f>J992*0.78</f>
        <v>530400</v>
      </c>
      <c r="L992">
        <f t="shared" si="31"/>
        <v>149600</v>
      </c>
    </row>
    <row r="993" spans="1:12" x14ac:dyDescent="0.3">
      <c r="A993" t="s">
        <v>1050</v>
      </c>
      <c r="B993" s="2">
        <v>45774</v>
      </c>
      <c r="C993" t="s">
        <v>59</v>
      </c>
      <c r="D993" t="s">
        <v>83</v>
      </c>
      <c r="E993" t="s">
        <v>20</v>
      </c>
      <c r="F993" t="s">
        <v>16</v>
      </c>
      <c r="G993" t="s">
        <v>17</v>
      </c>
      <c r="H993">
        <v>13</v>
      </c>
      <c r="I993">
        <v>300</v>
      </c>
      <c r="J993">
        <f t="shared" si="30"/>
        <v>3900</v>
      </c>
      <c r="K993">
        <f>J993*0.71</f>
        <v>2769</v>
      </c>
      <c r="L993">
        <f t="shared" si="31"/>
        <v>1131</v>
      </c>
    </row>
    <row r="994" spans="1:12" x14ac:dyDescent="0.3">
      <c r="A994" t="s">
        <v>1051</v>
      </c>
      <c r="B994" s="2">
        <v>46009</v>
      </c>
      <c r="C994" t="s">
        <v>24</v>
      </c>
      <c r="D994" t="s">
        <v>83</v>
      </c>
      <c r="E994" t="s">
        <v>46</v>
      </c>
      <c r="F994" t="s">
        <v>16</v>
      </c>
      <c r="G994" t="s">
        <v>60</v>
      </c>
      <c r="H994">
        <v>10</v>
      </c>
      <c r="I994">
        <v>250</v>
      </c>
      <c r="J994">
        <f t="shared" si="30"/>
        <v>2500</v>
      </c>
      <c r="K994">
        <f>J994*0.72</f>
        <v>1800</v>
      </c>
      <c r="L994">
        <f t="shared" si="31"/>
        <v>700</v>
      </c>
    </row>
    <row r="995" spans="1:12" x14ac:dyDescent="0.3">
      <c r="A995" t="s">
        <v>1052</v>
      </c>
      <c r="B995" s="2">
        <v>46022</v>
      </c>
      <c r="C995" t="s">
        <v>24</v>
      </c>
      <c r="D995" t="s">
        <v>39</v>
      </c>
      <c r="E995" t="s">
        <v>15</v>
      </c>
      <c r="F995" t="s">
        <v>16</v>
      </c>
      <c r="G995" t="s">
        <v>92</v>
      </c>
      <c r="H995">
        <v>13</v>
      </c>
      <c r="I995">
        <v>1200</v>
      </c>
      <c r="J995">
        <f t="shared" si="30"/>
        <v>15600</v>
      </c>
      <c r="K995">
        <f>J995*0.76</f>
        <v>11856</v>
      </c>
      <c r="L995">
        <f t="shared" si="31"/>
        <v>3744</v>
      </c>
    </row>
    <row r="996" spans="1:12" x14ac:dyDescent="0.3">
      <c r="A996" t="s">
        <v>1053</v>
      </c>
      <c r="B996" s="2">
        <v>45942</v>
      </c>
      <c r="C996" t="s">
        <v>38</v>
      </c>
      <c r="D996" t="s">
        <v>64</v>
      </c>
      <c r="E996" t="s">
        <v>15</v>
      </c>
      <c r="F996" t="s">
        <v>16</v>
      </c>
      <c r="G996" t="s">
        <v>17</v>
      </c>
      <c r="H996">
        <v>5</v>
      </c>
      <c r="I996">
        <v>300</v>
      </c>
      <c r="J996">
        <f t="shared" si="30"/>
        <v>1500</v>
      </c>
      <c r="K996">
        <f>J996*0.85</f>
        <v>1275</v>
      </c>
      <c r="L996">
        <f t="shared" si="31"/>
        <v>225</v>
      </c>
    </row>
    <row r="997" spans="1:12" x14ac:dyDescent="0.3">
      <c r="A997" t="s">
        <v>1054</v>
      </c>
      <c r="B997" s="2">
        <v>45807</v>
      </c>
      <c r="C997" t="s">
        <v>48</v>
      </c>
      <c r="D997" t="s">
        <v>51</v>
      </c>
      <c r="E997" t="s">
        <v>15</v>
      </c>
      <c r="F997" t="s">
        <v>21</v>
      </c>
      <c r="G997" t="s">
        <v>74</v>
      </c>
      <c r="H997">
        <v>6</v>
      </c>
      <c r="I997">
        <v>12000</v>
      </c>
      <c r="J997">
        <f t="shared" si="30"/>
        <v>72000</v>
      </c>
      <c r="K997">
        <f>J997*0.81</f>
        <v>58320.000000000007</v>
      </c>
      <c r="L997">
        <f t="shared" si="31"/>
        <v>13679.999999999993</v>
      </c>
    </row>
    <row r="998" spans="1:12" x14ac:dyDescent="0.3">
      <c r="A998" t="s">
        <v>1055</v>
      </c>
      <c r="B998" s="2">
        <v>45862</v>
      </c>
      <c r="C998" t="s">
        <v>76</v>
      </c>
      <c r="D998" t="s">
        <v>83</v>
      </c>
      <c r="E998" t="s">
        <v>35</v>
      </c>
      <c r="F998" t="s">
        <v>16</v>
      </c>
      <c r="G998" t="s">
        <v>36</v>
      </c>
      <c r="H998">
        <v>7</v>
      </c>
      <c r="I998">
        <v>150</v>
      </c>
      <c r="J998">
        <f t="shared" si="30"/>
        <v>1050</v>
      </c>
      <c r="K998">
        <f>J998*0.81</f>
        <v>850.5</v>
      </c>
      <c r="L998">
        <f t="shared" si="31"/>
        <v>199.5</v>
      </c>
    </row>
    <row r="999" spans="1:12" x14ac:dyDescent="0.3">
      <c r="A999" t="s">
        <v>1056</v>
      </c>
      <c r="B999" s="2">
        <v>45718</v>
      </c>
      <c r="C999" t="s">
        <v>63</v>
      </c>
      <c r="D999" t="s">
        <v>25</v>
      </c>
      <c r="E999" t="s">
        <v>15</v>
      </c>
      <c r="F999" t="s">
        <v>26</v>
      </c>
      <c r="G999" t="s">
        <v>111</v>
      </c>
      <c r="H999">
        <v>10</v>
      </c>
      <c r="I999">
        <v>85000</v>
      </c>
      <c r="J999">
        <f t="shared" si="30"/>
        <v>850000</v>
      </c>
      <c r="K999">
        <f>J999*0.74</f>
        <v>629000</v>
      </c>
      <c r="L999">
        <f t="shared" si="31"/>
        <v>221000</v>
      </c>
    </row>
    <row r="1000" spans="1:12" x14ac:dyDescent="0.3">
      <c r="A1000" t="s">
        <v>1057</v>
      </c>
      <c r="B1000" s="2">
        <v>45892</v>
      </c>
      <c r="C1000" t="s">
        <v>57</v>
      </c>
      <c r="D1000" t="s">
        <v>64</v>
      </c>
      <c r="E1000" t="s">
        <v>46</v>
      </c>
      <c r="F1000" t="s">
        <v>26</v>
      </c>
      <c r="G1000" t="s">
        <v>69</v>
      </c>
      <c r="H1000">
        <v>10</v>
      </c>
      <c r="I1000">
        <v>2500</v>
      </c>
      <c r="J1000">
        <f t="shared" si="30"/>
        <v>25000</v>
      </c>
      <c r="K1000">
        <f>J1000*0.71</f>
        <v>17750</v>
      </c>
      <c r="L1000">
        <f t="shared" si="31"/>
        <v>7250</v>
      </c>
    </row>
    <row r="1001" spans="1:12" x14ac:dyDescent="0.3">
      <c r="A1001" t="s">
        <v>1058</v>
      </c>
      <c r="B1001" s="2">
        <v>45777</v>
      </c>
      <c r="C1001" t="s">
        <v>59</v>
      </c>
      <c r="D1001" t="s">
        <v>86</v>
      </c>
      <c r="E1001" t="s">
        <v>20</v>
      </c>
      <c r="F1001" t="s">
        <v>16</v>
      </c>
      <c r="G1001" t="s">
        <v>92</v>
      </c>
      <c r="H1001">
        <v>13</v>
      </c>
      <c r="I1001">
        <v>1200</v>
      </c>
      <c r="J1001">
        <f t="shared" si="30"/>
        <v>15600</v>
      </c>
      <c r="K1001">
        <f>J1001*0.75</f>
        <v>11700</v>
      </c>
      <c r="L1001">
        <f t="shared" si="31"/>
        <v>3900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2F38-CD17-4F5F-BDEC-81D98646A830}">
  <dimension ref="A1:B7"/>
  <sheetViews>
    <sheetView workbookViewId="0">
      <selection activeCell="B2" sqref="B2:B7"/>
    </sheetView>
  </sheetViews>
  <sheetFormatPr defaultRowHeight="14.4" x14ac:dyDescent="0.3"/>
  <cols>
    <col min="2" max="2" width="16.77734375" bestFit="1" customWidth="1"/>
  </cols>
  <sheetData>
    <row r="1" spans="1:2" x14ac:dyDescent="0.3">
      <c r="A1" t="s">
        <v>1059</v>
      </c>
      <c r="B1" t="s">
        <v>1060</v>
      </c>
    </row>
    <row r="2" spans="1:2" x14ac:dyDescent="0.3">
      <c r="A2" t="s">
        <v>1061</v>
      </c>
      <c r="B2" s="4">
        <f>SUM(SalesData[Sales])</f>
        <v>175692300</v>
      </c>
    </row>
    <row r="3" spans="1:2" x14ac:dyDescent="0.3">
      <c r="A3" t="s">
        <v>1062</v>
      </c>
      <c r="B3" s="4">
        <f>SUM(SalesData[Profit])</f>
        <v>39048764</v>
      </c>
    </row>
    <row r="4" spans="1:2" x14ac:dyDescent="0.3">
      <c r="A4" t="s">
        <v>1063</v>
      </c>
      <c r="B4" s="4">
        <f>COUNTA(SalesData[Order ID])</f>
        <v>1000</v>
      </c>
    </row>
    <row r="5" spans="1:2" x14ac:dyDescent="0.3">
      <c r="A5" t="s">
        <v>1064</v>
      </c>
      <c r="B5" s="4">
        <f>AVERAGE(SalesData[Sales])</f>
        <v>175692.3</v>
      </c>
    </row>
    <row r="6" spans="1:2" x14ac:dyDescent="0.3">
      <c r="A6" t="s">
        <v>1065</v>
      </c>
      <c r="B6" s="4">
        <f>MAX(SalesData[Sales])</f>
        <v>1700000</v>
      </c>
    </row>
    <row r="7" spans="1:2" x14ac:dyDescent="0.3">
      <c r="A7" t="s">
        <v>1066</v>
      </c>
      <c r="B7" s="4">
        <f>MIN(SalesData[Sales])</f>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 Sales by Region</vt:lpstr>
      <vt:lpstr>Profit by region</vt:lpstr>
      <vt:lpstr>Sales by category</vt:lpstr>
      <vt:lpstr>Monthly sales trend</vt:lpstr>
      <vt:lpstr>Salesperson performance</vt:lpstr>
      <vt:lpstr>Dashboard</vt:lpstr>
      <vt:lpstr>Total sales by Products</vt:lpstr>
      <vt:lpstr>Sales_Data</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 Amondi</dc:creator>
  <cp:lastModifiedBy>Marian Amondi</cp:lastModifiedBy>
  <dcterms:created xsi:type="dcterms:W3CDTF">2026-06-29T08:51:40Z</dcterms:created>
  <dcterms:modified xsi:type="dcterms:W3CDTF">2026-07-02T11:50:31Z</dcterms:modified>
</cp:coreProperties>
</file>